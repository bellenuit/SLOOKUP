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matti/Developer/SLOOKUP/"/>
    </mc:Choice>
  </mc:AlternateContent>
  <xr:revisionPtr revIDLastSave="0" documentId="13_ncr:1_{D26F1CB5-C720-674D-9753-BABD6EA09D95}" xr6:coauthVersionLast="47" xr6:coauthVersionMax="47" xr10:uidLastSave="{00000000-0000-0000-0000-000000000000}"/>
  <bookViews>
    <workbookView xWindow="760" yWindow="500" windowWidth="25860" windowHeight="16000" tabRatio="761" xr2:uid="{00000000-000D-0000-FFFF-FFFF00000000}"/>
  </bookViews>
  <sheets>
    <sheet name="Readme" sheetId="67" r:id="rId1"/>
    <sheet name="Example1" sheetId="60" r:id="rId2"/>
    <sheet name="Example2" sheetId="68" r:id="rId3"/>
    <sheet name="Example3" sheetId="69" r:id="rId4"/>
    <sheet name="Example4" sheetId="70" r:id="rId5"/>
    <sheet name="Example5" sheetId="71" r:id="rId6"/>
    <sheet name="Screenshot" sheetId="72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1" hidden="1">Example1!$H$1:$I$267</definedName>
    <definedName name="_xlnm._FilterDatabase" localSheetId="3" hidden="1">Example3!$I$1:$I$103</definedName>
    <definedName name="aaaa">[1]Header!$A$1</definedName>
    <definedName name="altefilme">#REF!</definedName>
    <definedName name="Auswertung">#REF!</definedName>
    <definedName name="Boxoffice">#REF!</definedName>
    <definedName name="Festivals">#REF!</definedName>
    <definedName name="Filmdetail">[1]Daten!$A$3:$CC$164</definedName>
    <definedName name="Filmheader">[2]Daten!$A$3:$CC$19</definedName>
    <definedName name="Header">[3]Header!$A$1</definedName>
    <definedName name="Indikatoren">#REF!</definedName>
    <definedName name="neuefilme">#REF!</definedName>
    <definedName name="Serialized">[3]Serialize!$A$2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1" l="1"/>
  <c r="C2" i="71" s="1"/>
  <c r="F2" i="71" s="1"/>
  <c r="G2" i="71" s="1"/>
  <c r="J2" i="71" s="1"/>
  <c r="K2" i="71" s="1"/>
  <c r="B2" i="70"/>
  <c r="C2" i="70" s="1"/>
  <c r="F2" i="70" s="1"/>
  <c r="G2" i="70" s="1"/>
  <c r="J2" i="70" s="1"/>
  <c r="K2" i="70" s="1"/>
  <c r="E5" i="60" a="1"/>
  <c r="E9" i="60" a="1"/>
  <c r="E13" i="60" a="1"/>
  <c r="E17" i="60" a="1"/>
  <c r="E21" i="60" a="1"/>
  <c r="E25" i="60" a="1"/>
  <c r="E29" i="60" a="1"/>
  <c r="E6" i="60" a="1"/>
  <c r="E10" i="60" a="1"/>
  <c r="E14" i="60" a="1"/>
  <c r="E18" i="60" a="1"/>
  <c r="E22" i="60" a="1"/>
  <c r="E26" i="60" a="1"/>
  <c r="E30" i="60" a="1"/>
  <c r="E3" i="60" a="1"/>
  <c r="E7" i="60" a="1"/>
  <c r="E4" i="60" a="1"/>
  <c r="E8" i="60" a="1"/>
  <c r="E12" i="60" a="1"/>
  <c r="E16" i="60" a="1"/>
  <c r="E20" i="60" a="1"/>
  <c r="E24" i="60" a="1"/>
  <c r="E28" i="60" a="1"/>
  <c r="E32" i="60" a="1"/>
  <c r="E19" i="60" a="1"/>
  <c r="E33" i="60" a="1"/>
  <c r="E37" i="60" a="1"/>
  <c r="E41" i="60" a="1"/>
  <c r="E45" i="60" a="1"/>
  <c r="E49" i="60" a="1"/>
  <c r="E53" i="60" a="1"/>
  <c r="E57" i="60" a="1"/>
  <c r="E61" i="60" a="1"/>
  <c r="E65" i="60" a="1"/>
  <c r="E69" i="60" a="1"/>
  <c r="E73" i="60" a="1"/>
  <c r="E77" i="60" a="1"/>
  <c r="E81" i="60" a="1"/>
  <c r="E85" i="60" a="1"/>
  <c r="E89" i="60" a="1"/>
  <c r="E93" i="60" a="1"/>
  <c r="E97" i="60" a="1"/>
  <c r="E101" i="60" a="1"/>
  <c r="E105" i="60" a="1"/>
  <c r="E109" i="60" a="1"/>
  <c r="E113" i="60" a="1"/>
  <c r="E117" i="60" a="1"/>
  <c r="E121" i="60" a="1"/>
  <c r="E127" i="60" a="1"/>
  <c r="E133" i="60" a="1"/>
  <c r="E132" i="60" a="1"/>
  <c r="E150" i="60" a="1"/>
  <c r="E192" i="60" a="1"/>
  <c r="E147" i="60" a="1"/>
  <c r="E160" i="60" a="1"/>
  <c r="E168" i="60" a="1"/>
  <c r="E176" i="60" a="1"/>
  <c r="E187" i="60" a="1"/>
  <c r="E197" i="60" a="1"/>
  <c r="E201" i="60" a="1"/>
  <c r="E205" i="60" a="1"/>
  <c r="E209" i="60" a="1"/>
  <c r="E213" i="60" a="1"/>
  <c r="E217" i="60" a="1"/>
  <c r="E221" i="60" a="1"/>
  <c r="E225" i="60" a="1"/>
  <c r="E229" i="60" a="1"/>
  <c r="E233" i="60" a="1"/>
  <c r="E144" i="60" a="1"/>
  <c r="E182" i="60" a="1"/>
  <c r="E137" i="60" a="1"/>
  <c r="E153" i="60" a="1"/>
  <c r="E163" i="60" a="1"/>
  <c r="E171" i="60" a="1"/>
  <c r="E179" i="60" a="1"/>
  <c r="E193" i="60" a="1"/>
  <c r="E6" i="68" a="1"/>
  <c r="E10" i="68" a="1"/>
  <c r="E14" i="68" a="1"/>
  <c r="E18" i="68" a="1"/>
  <c r="E22" i="68" a="1"/>
  <c r="E29" i="68" a="1"/>
  <c r="E37" i="68" a="1"/>
  <c r="E46" i="68" a="1"/>
  <c r="E62" i="68" a="1"/>
  <c r="E78" i="68" a="1"/>
  <c r="E49" i="68" a="1"/>
  <c r="E65" i="68" a="1"/>
  <c r="E81" i="68" a="1"/>
  <c r="E28" i="68" a="1"/>
  <c r="E36" i="68" a="1"/>
  <c r="E44" i="68" a="1"/>
  <c r="E60" i="68" a="1"/>
  <c r="E76" i="68" a="1"/>
  <c r="E89" i="68" a="1"/>
  <c r="E93" i="68" a="1"/>
  <c r="E97" i="68" a="1"/>
  <c r="E101" i="68" a="1"/>
  <c r="E103" i="68" a="1"/>
  <c r="E111" i="68" a="1"/>
  <c r="E119" i="68" a="1"/>
  <c r="E127" i="68" a="1"/>
  <c r="E135" i="68" a="1"/>
  <c r="E151" i="68" a="1"/>
  <c r="E167" i="68" a="1"/>
  <c r="E183" i="68" a="1"/>
  <c r="E187" i="68" a="1"/>
  <c r="E191" i="68" a="1"/>
  <c r="E195" i="68" a="1"/>
  <c r="E199" i="68" a="1"/>
  <c r="E203" i="68" a="1"/>
  <c r="E207" i="68" a="1"/>
  <c r="E211" i="68" a="1"/>
  <c r="E215" i="68" a="1"/>
  <c r="E219" i="68" a="1"/>
  <c r="E223" i="68" a="1"/>
  <c r="E227" i="68" a="1"/>
  <c r="E47" i="68" a="1"/>
  <c r="E142" i="68" a="1"/>
  <c r="E158" i="68" a="1"/>
  <c r="E174" i="68" a="1"/>
  <c r="E75" i="68" a="1"/>
  <c r="E108" i="68" a="1"/>
  <c r="E116" i="68" a="1"/>
  <c r="E124" i="68" a="1"/>
  <c r="E132" i="68" a="1"/>
  <c r="E145" i="68" a="1"/>
  <c r="E161" i="68" a="1"/>
  <c r="E177" i="68" a="1"/>
  <c r="E87" i="68" a="1"/>
  <c r="E148" i="68" a="1"/>
  <c r="E164" i="68" a="1"/>
  <c r="E180" i="68" a="1"/>
  <c r="E3" i="71" a="1"/>
  <c r="E11" i="71" a="1"/>
  <c r="E19" i="71" a="1"/>
  <c r="E27" i="71" a="1"/>
  <c r="E35" i="71" a="1"/>
  <c r="E43" i="71" a="1"/>
  <c r="E51" i="71" a="1"/>
  <c r="E59" i="71" a="1"/>
  <c r="E67" i="71" a="1"/>
  <c r="E75" i="71" a="1"/>
  <c r="E83" i="71" a="1"/>
  <c r="E91" i="71" a="1"/>
  <c r="E99" i="71" a="1"/>
  <c r="E6" i="71" a="1"/>
  <c r="E26" i="71" a="1"/>
  <c r="E58" i="71" a="1"/>
  <c r="E82" i="71" a="1"/>
  <c r="E98" i="71" a="1"/>
  <c r="E23" i="60" a="1"/>
  <c r="E34" i="60" a="1"/>
  <c r="E38" i="60" a="1"/>
  <c r="E42" i="60" a="1"/>
  <c r="E46" i="60" a="1"/>
  <c r="E50" i="60" a="1"/>
  <c r="E54" i="60" a="1"/>
  <c r="E58" i="60" a="1"/>
  <c r="E62" i="60" a="1"/>
  <c r="E66" i="60" a="1"/>
  <c r="E70" i="60" a="1"/>
  <c r="E74" i="60" a="1"/>
  <c r="E78" i="60" a="1"/>
  <c r="E82" i="60" a="1"/>
  <c r="E86" i="60" a="1"/>
  <c r="E90" i="60" a="1"/>
  <c r="E94" i="60" a="1"/>
  <c r="E98" i="60" a="1"/>
  <c r="E102" i="60" a="1"/>
  <c r="E106" i="60" a="1"/>
  <c r="E110" i="60" a="1"/>
  <c r="E114" i="60" a="1"/>
  <c r="E118" i="60" a="1"/>
  <c r="E122" i="60" a="1"/>
  <c r="E130" i="60" a="1"/>
  <c r="E124" i="60" a="1"/>
  <c r="E138" i="60" a="1"/>
  <c r="E154" i="60" a="1"/>
  <c r="E135" i="60" a="1"/>
  <c r="E151" i="60" a="1"/>
  <c r="E162" i="60" a="1"/>
  <c r="E170" i="60" a="1"/>
  <c r="E178" i="60" a="1"/>
  <c r="E191" i="60" a="1"/>
  <c r="E198" i="60" a="1"/>
  <c r="E202" i="60" a="1"/>
  <c r="E206" i="60" a="1"/>
  <c r="E210" i="60" a="1"/>
  <c r="E214" i="60" a="1"/>
  <c r="E218" i="60" a="1"/>
  <c r="E222" i="60" a="1"/>
  <c r="E226" i="60" a="1"/>
  <c r="E230" i="60" a="1"/>
  <c r="E131" i="60" a="1"/>
  <c r="E148" i="60" a="1"/>
  <c r="E186" i="60" a="1"/>
  <c r="E141" i="60" a="1"/>
  <c r="E157" i="60" a="1"/>
  <c r="E165" i="60" a="1"/>
  <c r="E173" i="60" a="1"/>
  <c r="E181" i="60" a="1"/>
  <c r="E3" i="68" a="1"/>
  <c r="E7" i="68" a="1"/>
  <c r="E11" i="68" a="1"/>
  <c r="E15" i="68" a="1"/>
  <c r="E19" i="68" a="1"/>
  <c r="E23" i="68" a="1"/>
  <c r="E31" i="68" a="1"/>
  <c r="E39" i="68" a="1"/>
  <c r="E11" i="60" a="1"/>
  <c r="E27" i="60" a="1"/>
  <c r="E35" i="60" a="1"/>
  <c r="E39" i="60" a="1"/>
  <c r="E43" i="60" a="1"/>
  <c r="E47" i="60" a="1"/>
  <c r="E51" i="60" a="1"/>
  <c r="E55" i="60" a="1"/>
  <c r="E59" i="60" a="1"/>
  <c r="E63" i="60" a="1"/>
  <c r="E67" i="60" a="1"/>
  <c r="E71" i="60" a="1"/>
  <c r="E75" i="60" a="1"/>
  <c r="E79" i="60" a="1"/>
  <c r="E83" i="60" a="1"/>
  <c r="E87" i="60" a="1"/>
  <c r="E91" i="60" a="1"/>
  <c r="E95" i="60" a="1"/>
  <c r="E99" i="60" a="1"/>
  <c r="E103" i="60" a="1"/>
  <c r="E107" i="60" a="1"/>
  <c r="E111" i="60" a="1"/>
  <c r="E115" i="60" a="1"/>
  <c r="E119" i="60" a="1"/>
  <c r="E123" i="60" a="1"/>
  <c r="E134" i="60" a="1"/>
  <c r="E126" i="60" a="1"/>
  <c r="E142" i="60" a="1"/>
  <c r="E184" i="60" a="1"/>
  <c r="E139" i="60" a="1"/>
  <c r="E155" i="60" a="1"/>
  <c r="E164" i="60" a="1"/>
  <c r="E172" i="60" a="1"/>
  <c r="E180" i="60" a="1"/>
  <c r="E195" i="60" a="1"/>
  <c r="E199" i="60" a="1"/>
  <c r="E203" i="60" a="1"/>
  <c r="E207" i="60" a="1"/>
  <c r="E211" i="60" a="1"/>
  <c r="E215" i="60" a="1"/>
  <c r="E219" i="60" a="1"/>
  <c r="E223" i="60" a="1"/>
  <c r="E227" i="60" a="1"/>
  <c r="E231" i="60" a="1"/>
  <c r="E136" i="60" a="1"/>
  <c r="E152" i="60" a="1"/>
  <c r="E190" i="60" a="1"/>
  <c r="E145" i="60" a="1"/>
  <c r="E159" i="60" a="1"/>
  <c r="E167" i="60" a="1"/>
  <c r="E175" i="60" a="1"/>
  <c r="E185" i="60" a="1"/>
  <c r="E4" i="68" a="1"/>
  <c r="E8" i="68" a="1"/>
  <c r="E12" i="68" a="1"/>
  <c r="E16" i="68" a="1"/>
  <c r="E20" i="68" a="1"/>
  <c r="E25" i="68" a="1"/>
  <c r="E33" i="68" a="1"/>
  <c r="E41" i="68" a="1"/>
  <c r="E15" i="60" a="1"/>
  <c r="E44" i="60" a="1"/>
  <c r="E60" i="60" a="1"/>
  <c r="E76" i="60" a="1"/>
  <c r="E92" i="60" a="1"/>
  <c r="E108" i="60" a="1"/>
  <c r="E125" i="60" a="1"/>
  <c r="E188" i="60" a="1"/>
  <c r="E174" i="60" a="1"/>
  <c r="E204" i="60" a="1"/>
  <c r="E220" i="60" a="1"/>
  <c r="E140" i="60" a="1"/>
  <c r="E161" i="60" a="1"/>
  <c r="E5" i="68" a="1"/>
  <c r="E21" i="68" a="1"/>
  <c r="E50" i="68" a="1"/>
  <c r="E70" i="68" a="1"/>
  <c r="E45" i="68" a="1"/>
  <c r="E69" i="68" a="1"/>
  <c r="E24" i="68" a="1"/>
  <c r="E34" i="68" a="1"/>
  <c r="E48" i="68" a="1"/>
  <c r="E68" i="68" a="1"/>
  <c r="E88" i="68" a="1"/>
  <c r="E94" i="68" a="1"/>
  <c r="E99" i="68" a="1"/>
  <c r="E83" i="68" a="1"/>
  <c r="E113" i="68" a="1"/>
  <c r="E123" i="68" a="1"/>
  <c r="E133" i="68" a="1"/>
  <c r="E155" i="68" a="1"/>
  <c r="E175" i="68" a="1"/>
  <c r="E186" i="68" a="1"/>
  <c r="E192" i="68" a="1"/>
  <c r="E197" i="68" a="1"/>
  <c r="E202" i="68" a="1"/>
  <c r="E208" i="68" a="1"/>
  <c r="E213" i="68" a="1"/>
  <c r="E218" i="68" a="1"/>
  <c r="E224" i="68" a="1"/>
  <c r="E229" i="68" a="1"/>
  <c r="E138" i="68" a="1"/>
  <c r="E162" i="68" a="1"/>
  <c r="E182" i="68" a="1"/>
  <c r="E106" i="68" a="1"/>
  <c r="E118" i="68" a="1"/>
  <c r="E128" i="68" a="1"/>
  <c r="E141" i="68" a="1"/>
  <c r="E165" i="68" a="1"/>
  <c r="E55" i="68" a="1"/>
  <c r="E144" i="68" a="1"/>
  <c r="E168" i="68" a="1"/>
  <c r="E231" i="68" a="1"/>
  <c r="E9" i="71" a="1"/>
  <c r="E21" i="71" a="1"/>
  <c r="E31" i="71" a="1"/>
  <c r="E41" i="71" a="1"/>
  <c r="E53" i="71" a="1"/>
  <c r="E63" i="71" a="1"/>
  <c r="E73" i="71" a="1"/>
  <c r="E85" i="71" a="1"/>
  <c r="E95" i="71" a="1"/>
  <c r="E4" i="71" a="1"/>
  <c r="E34" i="71" a="1"/>
  <c r="E74" i="71" a="1"/>
  <c r="E94" i="71" a="1"/>
  <c r="E36" i="71" a="1"/>
  <c r="E68" i="71" a="1"/>
  <c r="E38" i="71" a="1"/>
  <c r="E70" i="71" a="1"/>
  <c r="E88" i="71" a="1"/>
  <c r="E40" i="71" a="1"/>
  <c r="E72" i="71" a="1"/>
  <c r="E74" i="70" a="1"/>
  <c r="E78" i="70" a="1"/>
  <c r="E82" i="70" a="1"/>
  <c r="E86" i="70" a="1"/>
  <c r="E90" i="70" a="1"/>
  <c r="E31" i="60" a="1"/>
  <c r="E48" i="60" a="1"/>
  <c r="E64" i="60" a="1"/>
  <c r="E80" i="60" a="1"/>
  <c r="E96" i="60" a="1"/>
  <c r="E112" i="60" a="1"/>
  <c r="E129" i="60" a="1"/>
  <c r="E143" i="60" a="1"/>
  <c r="E183" i="60" a="1"/>
  <c r="E208" i="60" a="1"/>
  <c r="E224" i="60" a="1"/>
  <c r="E156" i="60" a="1"/>
  <c r="E169" i="60" a="1"/>
  <c r="E9" i="68" a="1"/>
  <c r="E27" i="68" a="1"/>
  <c r="E54" i="68" a="1"/>
  <c r="E74" i="68" a="1"/>
  <c r="E53" i="68" a="1"/>
  <c r="E73" i="68" a="1"/>
  <c r="E26" i="68" a="1"/>
  <c r="E38" i="68" a="1"/>
  <c r="E52" i="68" a="1"/>
  <c r="E72" i="68" a="1"/>
  <c r="E90" i="68" a="1"/>
  <c r="E95" i="68" a="1"/>
  <c r="E100" i="68" a="1"/>
  <c r="E105" i="68" a="1"/>
  <c r="E115" i="68" a="1"/>
  <c r="E125" i="68" a="1"/>
  <c r="E139" i="68" a="1"/>
  <c r="E159" i="68" a="1"/>
  <c r="E179" i="68" a="1"/>
  <c r="E188" i="68" a="1"/>
  <c r="E193" i="68" a="1"/>
  <c r="E198" i="68" a="1"/>
  <c r="E204" i="68" a="1"/>
  <c r="E209" i="68" a="1"/>
  <c r="E214" i="68" a="1"/>
  <c r="E220" i="68" a="1"/>
  <c r="E225" i="68" a="1"/>
  <c r="E230" i="68" a="1"/>
  <c r="E146" i="68" a="1"/>
  <c r="E166" i="68" a="1"/>
  <c r="E59" i="68" a="1"/>
  <c r="E110" i="68" a="1"/>
  <c r="E120" i="68" a="1"/>
  <c r="E130" i="68" a="1"/>
  <c r="E149" i="68" a="1"/>
  <c r="E169" i="68" a="1"/>
  <c r="E71" i="68" a="1"/>
  <c r="E152" i="68" a="1"/>
  <c r="E172" i="68" a="1"/>
  <c r="E233" i="68" a="1"/>
  <c r="E13" i="71" a="1"/>
  <c r="E23" i="71" a="1"/>
  <c r="E33" i="71" a="1"/>
  <c r="E45" i="71" a="1"/>
  <c r="E55" i="71" a="1"/>
  <c r="E65" i="71" a="1"/>
  <c r="E77" i="71" a="1"/>
  <c r="E87" i="71" a="1"/>
  <c r="E97" i="71" a="1"/>
  <c r="E8" i="71" a="1"/>
  <c r="E42" i="71" a="1"/>
  <c r="E78" i="71" a="1"/>
  <c r="E12" i="71" a="1"/>
  <c r="E44" i="71" a="1"/>
  <c r="E14" i="71" a="1"/>
  <c r="E46" i="71" a="1"/>
  <c r="E76" i="71" a="1"/>
  <c r="E92" i="71" a="1"/>
  <c r="E16" i="71" a="1"/>
  <c r="E48" i="71" a="1"/>
  <c r="E61" i="70" a="1"/>
  <c r="E69" i="70" a="1"/>
  <c r="E55" i="70" a="1"/>
  <c r="E58" i="70" a="1"/>
  <c r="E66" i="70" a="1"/>
  <c r="E36" i="60" a="1"/>
  <c r="E52" i="60" a="1"/>
  <c r="E68" i="60" a="1"/>
  <c r="E84" i="60" a="1"/>
  <c r="E100" i="60" a="1"/>
  <c r="E116" i="60" a="1"/>
  <c r="E128" i="60" a="1"/>
  <c r="E158" i="60" a="1"/>
  <c r="E196" i="60" a="1"/>
  <c r="E212" i="60" a="1"/>
  <c r="E228" i="60" a="1"/>
  <c r="E194" i="60" a="1"/>
  <c r="E177" i="60" a="1"/>
  <c r="E13" i="68" a="1"/>
  <c r="E35" i="68" a="1"/>
  <c r="E58" i="68" a="1"/>
  <c r="E82" i="68" a="1"/>
  <c r="E57" i="68" a="1"/>
  <c r="E77" i="68" a="1"/>
  <c r="E30" i="68" a="1"/>
  <c r="E40" i="68" a="1"/>
  <c r="E56" i="68" a="1"/>
  <c r="E80" i="68" a="1"/>
  <c r="E91" i="68" a="1"/>
  <c r="E96" i="68" a="1"/>
  <c r="E51" i="68" a="1"/>
  <c r="E107" i="68" a="1"/>
  <c r="E117" i="68" a="1"/>
  <c r="E129" i="68" a="1"/>
  <c r="E143" i="68" a="1"/>
  <c r="E163" i="68" a="1"/>
  <c r="E184" i="68" a="1"/>
  <c r="E189" i="68" a="1"/>
  <c r="E194" i="68" a="1"/>
  <c r="E200" i="68" a="1"/>
  <c r="E205" i="68" a="1"/>
  <c r="E210" i="68" a="1"/>
  <c r="E216" i="68" a="1"/>
  <c r="E221" i="68" a="1"/>
  <c r="E226" i="68" a="1"/>
  <c r="E63" i="68" a="1"/>
  <c r="E150" i="68" a="1"/>
  <c r="E170" i="68" a="1"/>
  <c r="E102" i="68" a="1"/>
  <c r="E112" i="68" a="1"/>
  <c r="E122" i="68" a="1"/>
  <c r="E134" i="68" a="1"/>
  <c r="E153" i="68" a="1"/>
  <c r="E173" i="68" a="1"/>
  <c r="E136" i="68" a="1"/>
  <c r="E156" i="68" a="1"/>
  <c r="E176" i="68" a="1"/>
  <c r="E5" i="71" a="1"/>
  <c r="E15" i="71" a="1"/>
  <c r="E25" i="71" a="1"/>
  <c r="E37" i="71" a="1"/>
  <c r="E47" i="71" a="1"/>
  <c r="E57" i="71" a="1"/>
  <c r="E69" i="71" a="1"/>
  <c r="E79" i="71" a="1"/>
  <c r="E89" i="71" a="1"/>
  <c r="E101" i="71" a="1"/>
  <c r="E10" i="71" a="1"/>
  <c r="E50" i="71" a="1"/>
  <c r="E86" i="71" a="1"/>
  <c r="E20" i="71" a="1"/>
  <c r="E52" i="71" a="1"/>
  <c r="E22" i="71" a="1"/>
  <c r="E54" i="71" a="1"/>
  <c r="E80" i="71" a="1"/>
  <c r="E96" i="71" a="1"/>
  <c r="E24" i="71" a="1"/>
  <c r="E56" i="71" a="1"/>
  <c r="E76" i="70" a="1"/>
  <c r="E80" i="70" a="1"/>
  <c r="E84" i="70" a="1"/>
  <c r="E88" i="70" a="1"/>
  <c r="E92" i="70" a="1"/>
  <c r="E40" i="60" a="1"/>
  <c r="E56" i="60" a="1"/>
  <c r="E72" i="60" a="1"/>
  <c r="E88" i="60" a="1"/>
  <c r="E104" i="60" a="1"/>
  <c r="E120" i="60" a="1"/>
  <c r="E146" i="60" a="1"/>
  <c r="E166" i="60" a="1"/>
  <c r="E200" i="60" a="1"/>
  <c r="E216" i="60" a="1"/>
  <c r="E232" i="60" a="1"/>
  <c r="E149" i="60" a="1"/>
  <c r="E189" i="60" a="1"/>
  <c r="E17" i="68" a="1"/>
  <c r="E43" i="68" a="1"/>
  <c r="E66" i="68" a="1"/>
  <c r="E86" i="68" a="1"/>
  <c r="E61" i="68" a="1"/>
  <c r="E85" i="68" a="1"/>
  <c r="E32" i="68" a="1"/>
  <c r="E42" i="68" a="1"/>
  <c r="E64" i="68" a="1"/>
  <c r="E84" i="68" a="1"/>
  <c r="E92" i="68" a="1"/>
  <c r="E98" i="68" a="1"/>
  <c r="E67" i="68" a="1"/>
  <c r="E109" i="68" a="1"/>
  <c r="E121" i="68" a="1"/>
  <c r="E131" i="68" a="1"/>
  <c r="E147" i="68" a="1"/>
  <c r="E171" i="68" a="1"/>
  <c r="E185" i="68" a="1"/>
  <c r="E190" i="68" a="1"/>
  <c r="E196" i="68" a="1"/>
  <c r="E201" i="68" a="1"/>
  <c r="E206" i="68" a="1"/>
  <c r="E212" i="68" a="1"/>
  <c r="E217" i="68" a="1"/>
  <c r="E222" i="68" a="1"/>
  <c r="E228" i="68" a="1"/>
  <c r="E79" i="68" a="1"/>
  <c r="E154" i="68" a="1"/>
  <c r="E178" i="68" a="1"/>
  <c r="E104" i="68" a="1"/>
  <c r="E114" i="68" a="1"/>
  <c r="E126" i="68" a="1"/>
  <c r="E137" i="68" a="1"/>
  <c r="E157" i="68" a="1"/>
  <c r="E232" i="68" a="1"/>
  <c r="E39" i="71" a="1"/>
  <c r="E81" i="71" a="1"/>
  <c r="E66" i="71" a="1"/>
  <c r="E28" i="71" a="1"/>
  <c r="E30" i="71" a="1"/>
  <c r="E60" i="70" a="1"/>
  <c r="E64" i="70" a="1"/>
  <c r="E72" i="70" a="1"/>
  <c r="E93" i="70" a="1"/>
  <c r="E101" i="70" a="1"/>
  <c r="E87" i="70" a="1"/>
  <c r="E6" i="70" a="1"/>
  <c r="E14" i="70" a="1"/>
  <c r="E22" i="70" a="1"/>
  <c r="E30" i="70" a="1"/>
  <c r="E38" i="70" a="1"/>
  <c r="E46" i="70" a="1"/>
  <c r="E54" i="70" a="1"/>
  <c r="E11" i="70" a="1"/>
  <c r="E27" i="70" a="1"/>
  <c r="E43" i="70" a="1"/>
  <c r="E17" i="70" a="1"/>
  <c r="E45" i="70" a="1"/>
  <c r="E33" i="70" a="1"/>
  <c r="H5" i="69" a="1"/>
  <c r="H13" i="69" a="1"/>
  <c r="H21" i="69" a="1"/>
  <c r="H29" i="69" a="1"/>
  <c r="H37" i="69" a="1"/>
  <c r="H45" i="69" a="1"/>
  <c r="H53" i="69" a="1"/>
  <c r="H61" i="69" a="1"/>
  <c r="H69" i="69" a="1"/>
  <c r="H77" i="69" a="1"/>
  <c r="H85" i="69" a="1"/>
  <c r="H93" i="69" a="1"/>
  <c r="H101" i="69" a="1"/>
  <c r="H92" i="69" a="1"/>
  <c r="H86" i="69" a="1"/>
  <c r="H4" i="69" a="1"/>
  <c r="H12" i="69" a="1"/>
  <c r="H20" i="69" a="1"/>
  <c r="H28" i="69" a="1"/>
  <c r="H36" i="69" a="1"/>
  <c r="H44" i="69" a="1"/>
  <c r="H52" i="69" a="1"/>
  <c r="H60" i="69" a="1"/>
  <c r="H70" i="69" a="1"/>
  <c r="H84" i="69" a="1"/>
  <c r="H96" i="69" a="1"/>
  <c r="G9" i="69" a="1"/>
  <c r="G17" i="69" a="1"/>
  <c r="G25" i="69" a="1"/>
  <c r="G33" i="69" a="1"/>
  <c r="G41" i="69" a="1"/>
  <c r="G49" i="69" a="1"/>
  <c r="G57" i="69" a="1"/>
  <c r="G65" i="69" a="1"/>
  <c r="G73" i="69" a="1"/>
  <c r="G81" i="69" a="1"/>
  <c r="G89" i="69" a="1"/>
  <c r="G97" i="69" a="1"/>
  <c r="G80" i="69" a="1"/>
  <c r="G4" i="69" a="1"/>
  <c r="G12" i="69" a="1"/>
  <c r="G20" i="69" a="1"/>
  <c r="G28" i="69" a="1"/>
  <c r="G36" i="69" a="1"/>
  <c r="G44" i="69" a="1"/>
  <c r="G54" i="69" a="1"/>
  <c r="G62" i="69" a="1"/>
  <c r="G70" i="69" a="1"/>
  <c r="G88" i="69" a="1"/>
  <c r="G76" i="69" a="1"/>
  <c r="E2" i="60" a="1"/>
  <c r="G29" i="69" a="1"/>
  <c r="G85" i="69" a="1"/>
  <c r="G90" i="69" a="1"/>
  <c r="G24" i="69" a="1"/>
  <c r="G40" i="69" a="1"/>
  <c r="G66" i="69" a="1"/>
  <c r="G92" i="69" a="1"/>
  <c r="G72" i="69" a="1"/>
  <c r="G34" i="69" a="1"/>
  <c r="G68" i="69" a="1"/>
  <c r="E181" i="68" a="1"/>
  <c r="E7" i="71" a="1"/>
  <c r="E49" i="71" a="1"/>
  <c r="E93" i="71" a="1"/>
  <c r="E90" i="71" a="1"/>
  <c r="E60" i="71" a="1"/>
  <c r="E62" i="71" a="1"/>
  <c r="E73" i="70" a="1"/>
  <c r="E70" i="70" a="1"/>
  <c r="E75" i="70" a="1"/>
  <c r="E94" i="70" a="1"/>
  <c r="E99" i="70" a="1"/>
  <c r="E8" i="70" a="1"/>
  <c r="E16" i="70" a="1"/>
  <c r="E24" i="70" a="1"/>
  <c r="E32" i="70" a="1"/>
  <c r="E40" i="70" a="1"/>
  <c r="E48" i="70" a="1"/>
  <c r="E15" i="70" a="1"/>
  <c r="E31" i="70" a="1"/>
  <c r="E47" i="70" a="1"/>
  <c r="E21" i="70" a="1"/>
  <c r="E53" i="70" a="1"/>
  <c r="E5" i="70" a="1"/>
  <c r="E41" i="70" a="1"/>
  <c r="H7" i="69" a="1"/>
  <c r="H15" i="69" a="1"/>
  <c r="H23" i="69" a="1"/>
  <c r="H31" i="69" a="1"/>
  <c r="H39" i="69" a="1"/>
  <c r="H47" i="69" a="1"/>
  <c r="H55" i="69" a="1"/>
  <c r="H63" i="69" a="1"/>
  <c r="H71" i="69" a="1"/>
  <c r="H79" i="69" a="1"/>
  <c r="H87" i="69" a="1"/>
  <c r="H95" i="69" a="1"/>
  <c r="H2" i="69" a="1"/>
  <c r="H100" i="69" a="1"/>
  <c r="H94" i="69" a="1"/>
  <c r="H6" i="69" a="1"/>
  <c r="H14" i="69" a="1"/>
  <c r="H22" i="69" a="1"/>
  <c r="H30" i="69" a="1"/>
  <c r="H38" i="69" a="1"/>
  <c r="H46" i="69" a="1"/>
  <c r="H54" i="69" a="1"/>
  <c r="H62" i="69" a="1"/>
  <c r="H72" i="69" a="1"/>
  <c r="H90" i="69" a="1"/>
  <c r="G3" i="69" a="1"/>
  <c r="G11" i="69" a="1"/>
  <c r="G19" i="69" a="1"/>
  <c r="G27" i="69" a="1"/>
  <c r="G35" i="69" a="1"/>
  <c r="G43" i="69" a="1"/>
  <c r="G51" i="69" a="1"/>
  <c r="G59" i="69" a="1"/>
  <c r="G67" i="69" a="1"/>
  <c r="G75" i="69" a="1"/>
  <c r="G83" i="69" a="1"/>
  <c r="G91" i="69" a="1"/>
  <c r="G99" i="69" a="1"/>
  <c r="G86" i="69" a="1"/>
  <c r="G6" i="69" a="1"/>
  <c r="G14" i="69" a="1"/>
  <c r="G22" i="69" a="1"/>
  <c r="G30" i="69" a="1"/>
  <c r="G38" i="69" a="1"/>
  <c r="G48" i="69" a="1"/>
  <c r="G56" i="69" a="1"/>
  <c r="G64" i="69" a="1"/>
  <c r="G74" i="69" a="1"/>
  <c r="G94" i="69" a="1"/>
  <c r="G84" i="69" a="1"/>
  <c r="H78" i="69" a="1"/>
  <c r="G13" i="69" a="1"/>
  <c r="G37" i="69" a="1"/>
  <c r="G53" i="69" a="1"/>
  <c r="G69" i="69" a="1"/>
  <c r="G77" i="69" a="1"/>
  <c r="G101" i="69" a="1"/>
  <c r="G16" i="69" a="1"/>
  <c r="G32" i="69" a="1"/>
  <c r="G58" i="69" a="1"/>
  <c r="G100" i="69" a="1"/>
  <c r="G96" i="69" a="1"/>
  <c r="G26" i="69" a="1"/>
  <c r="G60" i="69" a="1"/>
  <c r="G98" i="69" a="1"/>
  <c r="E140" i="68" a="1"/>
  <c r="E17" i="71" a="1"/>
  <c r="E61" i="71" a="1"/>
  <c r="E84" i="71" a="1"/>
  <c r="E32" i="71" a="1"/>
  <c r="E65" i="70" a="1"/>
  <c r="E62" i="70" a="1"/>
  <c r="E59" i="70" a="1"/>
  <c r="E63" i="70" a="1"/>
  <c r="E77" i="70" a="1"/>
  <c r="E79" i="70" a="1"/>
  <c r="E68" i="70" a="1"/>
  <c r="E100" i="70" a="1"/>
  <c r="E85" i="70" a="1"/>
  <c r="E96" i="70" a="1"/>
  <c r="E83" i="70" a="1"/>
  <c r="E97" i="70" a="1"/>
  <c r="E10" i="70" a="1"/>
  <c r="E18" i="70" a="1"/>
  <c r="E26" i="70" a="1"/>
  <c r="E34" i="70" a="1"/>
  <c r="E42" i="70" a="1"/>
  <c r="E50" i="70" a="1"/>
  <c r="E3" i="70" a="1"/>
  <c r="E19" i="70" a="1"/>
  <c r="E35" i="70" a="1"/>
  <c r="E51" i="70" a="1"/>
  <c r="E29" i="70" a="1"/>
  <c r="E13" i="70" a="1"/>
  <c r="E49" i="70" a="1"/>
  <c r="H9" i="69" a="1"/>
  <c r="H17" i="69" a="1"/>
  <c r="H25" i="69" a="1"/>
  <c r="H33" i="69" a="1"/>
  <c r="H41" i="69" a="1"/>
  <c r="H49" i="69" a="1"/>
  <c r="H57" i="69" a="1"/>
  <c r="H65" i="69" a="1"/>
  <c r="H73" i="69" a="1"/>
  <c r="H81" i="69" a="1"/>
  <c r="H89" i="69" a="1"/>
  <c r="H97" i="69" a="1"/>
  <c r="H76" i="69" a="1"/>
  <c r="H66" i="69" a="1"/>
  <c r="H102" i="69" a="1"/>
  <c r="H8" i="69" a="1"/>
  <c r="H16" i="69" a="1"/>
  <c r="H24" i="69" a="1"/>
  <c r="H32" i="69" a="1"/>
  <c r="H40" i="69" a="1"/>
  <c r="H48" i="69" a="1"/>
  <c r="H56" i="69" a="1"/>
  <c r="H64" i="69" a="1"/>
  <c r="H98" i="69" a="1"/>
  <c r="G5" i="69" a="1"/>
  <c r="G21" i="69" a="1"/>
  <c r="G45" i="69" a="1"/>
  <c r="G61" i="69" a="1"/>
  <c r="G93" i="69" a="1"/>
  <c r="G8" i="69" a="1"/>
  <c r="G50" i="69" a="1"/>
  <c r="G78" i="69" a="1"/>
  <c r="G10" i="69" a="1"/>
  <c r="G42" i="69" a="1"/>
  <c r="G82" i="69" a="1"/>
  <c r="E160" i="68" a="1"/>
  <c r="E29" i="71" a="1"/>
  <c r="E71" i="71" a="1"/>
  <c r="E18" i="71" a="1"/>
  <c r="E100" i="71" a="1"/>
  <c r="E64" i="71" a="1"/>
  <c r="E57" i="70" a="1"/>
  <c r="E67" i="70" a="1"/>
  <c r="E71" i="70" a="1"/>
  <c r="E81" i="70" a="1"/>
  <c r="E56" i="70" a="1"/>
  <c r="E95" i="70" a="1"/>
  <c r="E91" i="70" a="1"/>
  <c r="E98" i="70" a="1"/>
  <c r="E89" i="70" a="1"/>
  <c r="E4" i="70" a="1"/>
  <c r="E12" i="70" a="1"/>
  <c r="E20" i="70" a="1"/>
  <c r="E28" i="70" a="1"/>
  <c r="E36" i="70" a="1"/>
  <c r="E44" i="70" a="1"/>
  <c r="E52" i="70" a="1"/>
  <c r="E7" i="70" a="1"/>
  <c r="E23" i="70" a="1"/>
  <c r="E39" i="70" a="1"/>
  <c r="E9" i="70" a="1"/>
  <c r="E37" i="70" a="1"/>
  <c r="E25" i="70" a="1"/>
  <c r="H3" i="69" a="1"/>
  <c r="H11" i="69" a="1"/>
  <c r="H19" i="69" a="1"/>
  <c r="H27" i="69" a="1"/>
  <c r="H35" i="69" a="1"/>
  <c r="H43" i="69" a="1"/>
  <c r="H51" i="69" a="1"/>
  <c r="H59" i="69" a="1"/>
  <c r="H67" i="69" a="1"/>
  <c r="H75" i="69" a="1"/>
  <c r="H83" i="69" a="1"/>
  <c r="H91" i="69" a="1"/>
  <c r="H99" i="69" a="1"/>
  <c r="H88" i="69" a="1"/>
  <c r="H80" i="69" a="1"/>
  <c r="G2" i="69" a="1"/>
  <c r="H10" i="69" a="1"/>
  <c r="H18" i="69" a="1"/>
  <c r="H26" i="69" a="1"/>
  <c r="H34" i="69" a="1"/>
  <c r="H42" i="69" a="1"/>
  <c r="H50" i="69" a="1"/>
  <c r="H58" i="69" a="1"/>
  <c r="H68" i="69" a="1"/>
  <c r="H82" i="69" a="1"/>
  <c r="H74" i="69" a="1"/>
  <c r="G7" i="69" a="1"/>
  <c r="G15" i="69" a="1"/>
  <c r="G23" i="69" a="1"/>
  <c r="G31" i="69" a="1"/>
  <c r="G39" i="69" a="1"/>
  <c r="G47" i="69" a="1"/>
  <c r="G55" i="69" a="1"/>
  <c r="G63" i="69" a="1"/>
  <c r="G71" i="69" a="1"/>
  <c r="G79" i="69" a="1"/>
  <c r="G87" i="69" a="1"/>
  <c r="G95" i="69" a="1"/>
  <c r="G18" i="69" a="1"/>
  <c r="G52" i="69" a="1"/>
  <c r="G46" i="69" a="1"/>
  <c r="C8" i="72" a="1"/>
  <c r="C14" i="72" a="1"/>
  <c r="C3" i="72" a="1"/>
  <c r="C6" i="72" a="1"/>
  <c r="C10" i="72" a="1"/>
  <c r="C9" i="72" a="1"/>
  <c r="C11" i="72" a="1"/>
  <c r="C2" i="72" a="1"/>
  <c r="C16" i="72" a="1"/>
  <c r="C13" i="72" a="1"/>
  <c r="C7" i="72" a="1"/>
  <c r="C17" i="72" a="1"/>
  <c r="C4" i="72" a="1"/>
  <c r="C5" i="72" a="1"/>
  <c r="C12" i="72" a="1"/>
  <c r="C15" i="72" a="1"/>
  <c r="M3" i="71" a="1"/>
  <c r="M5" i="71" a="1"/>
  <c r="M7" i="71" a="1"/>
  <c r="M9" i="71" a="1"/>
  <c r="M11" i="71" a="1"/>
  <c r="M13" i="71" a="1"/>
  <c r="M15" i="71" a="1"/>
  <c r="M17" i="71" a="1"/>
  <c r="M19" i="71" a="1"/>
  <c r="M21" i="71" a="1"/>
  <c r="M23" i="71" a="1"/>
  <c r="M25" i="71" a="1"/>
  <c r="M27" i="71" a="1"/>
  <c r="M29" i="71" a="1"/>
  <c r="M31" i="71" a="1"/>
  <c r="M33" i="71" a="1"/>
  <c r="M35" i="71" a="1"/>
  <c r="M37" i="71" a="1"/>
  <c r="M39" i="71" a="1"/>
  <c r="M41" i="71" a="1"/>
  <c r="M43" i="71" a="1"/>
  <c r="M45" i="71" a="1"/>
  <c r="M47" i="71" a="1"/>
  <c r="M49" i="71" a="1"/>
  <c r="M51" i="71" a="1"/>
  <c r="M53" i="71" a="1"/>
  <c r="M55" i="71" a="1"/>
  <c r="M57" i="71" a="1"/>
  <c r="M59" i="71" a="1"/>
  <c r="M61" i="71" a="1"/>
  <c r="M63" i="71" a="1"/>
  <c r="M65" i="71" a="1"/>
  <c r="M67" i="71" a="1"/>
  <c r="M69" i="71" a="1"/>
  <c r="M71" i="71" a="1"/>
  <c r="M73" i="71" a="1"/>
  <c r="M75" i="71" a="1"/>
  <c r="M77" i="71" a="1"/>
  <c r="M79" i="71" a="1"/>
  <c r="M81" i="71" a="1"/>
  <c r="M83" i="71" a="1"/>
  <c r="M85" i="71" a="1"/>
  <c r="M87" i="71" a="1"/>
  <c r="M89" i="71" a="1"/>
  <c r="M91" i="71" a="1"/>
  <c r="M93" i="71" a="1"/>
  <c r="M95" i="71" a="1"/>
  <c r="M97" i="71" a="1"/>
  <c r="M99" i="71" a="1"/>
  <c r="M101" i="71" a="1"/>
  <c r="M4" i="71" a="1"/>
  <c r="M6" i="71" a="1"/>
  <c r="M8" i="71" a="1"/>
  <c r="M10" i="71" a="1"/>
  <c r="M12" i="71" a="1"/>
  <c r="M14" i="71" a="1"/>
  <c r="M16" i="71" a="1"/>
  <c r="M18" i="71" a="1"/>
  <c r="M20" i="71" a="1"/>
  <c r="M22" i="71" a="1"/>
  <c r="M24" i="71" a="1"/>
  <c r="M26" i="71" a="1"/>
  <c r="M28" i="71" a="1"/>
  <c r="M30" i="71" a="1"/>
  <c r="M32" i="71" a="1"/>
  <c r="M34" i="71" a="1"/>
  <c r="M36" i="71" a="1"/>
  <c r="M38" i="71" a="1"/>
  <c r="M40" i="71" a="1"/>
  <c r="M42" i="71" a="1"/>
  <c r="M44" i="71" a="1"/>
  <c r="M46" i="71" a="1"/>
  <c r="M48" i="71" a="1"/>
  <c r="M50" i="71" a="1"/>
  <c r="M52" i="71" a="1"/>
  <c r="M54" i="71" a="1"/>
  <c r="M56" i="71" a="1"/>
  <c r="M58" i="71" a="1"/>
  <c r="M60" i="71" a="1"/>
  <c r="M62" i="71" a="1"/>
  <c r="M64" i="71" a="1"/>
  <c r="M66" i="71" a="1"/>
  <c r="M68" i="71" a="1"/>
  <c r="M70" i="71" a="1"/>
  <c r="M72" i="71" a="1"/>
  <c r="M74" i="71" a="1"/>
  <c r="M76" i="71" a="1"/>
  <c r="M78" i="71" a="1"/>
  <c r="M80" i="71" a="1"/>
  <c r="M82" i="71" a="1"/>
  <c r="M84" i="71" a="1"/>
  <c r="M86" i="71" a="1"/>
  <c r="M88" i="71" a="1"/>
  <c r="M90" i="71" a="1"/>
  <c r="M92" i="71" a="1"/>
  <c r="M94" i="71" a="1"/>
  <c r="M96" i="71" a="1"/>
  <c r="M98" i="71" a="1"/>
  <c r="M100" i="71" a="1"/>
  <c r="M2" i="71" a="1"/>
  <c r="L3" i="71" a="1"/>
  <c r="L5" i="71" a="1"/>
  <c r="L7" i="71" a="1"/>
  <c r="L9" i="71" a="1"/>
  <c r="L11" i="71" a="1"/>
  <c r="L13" i="71" a="1"/>
  <c r="L15" i="71" a="1"/>
  <c r="L17" i="71" a="1"/>
  <c r="L19" i="71" a="1"/>
  <c r="L21" i="71" a="1"/>
  <c r="L23" i="71" a="1"/>
  <c r="L25" i="71" a="1"/>
  <c r="L27" i="71" a="1"/>
  <c r="L29" i="71" a="1"/>
  <c r="L31" i="71" a="1"/>
  <c r="L33" i="71" a="1"/>
  <c r="L35" i="71" a="1"/>
  <c r="L37" i="71" a="1"/>
  <c r="L39" i="71" a="1"/>
  <c r="L41" i="71" a="1"/>
  <c r="L43" i="71" a="1"/>
  <c r="L45" i="71" a="1"/>
  <c r="L47" i="71" a="1"/>
  <c r="L49" i="71" a="1"/>
  <c r="L51" i="71" a="1"/>
  <c r="L53" i="71" a="1"/>
  <c r="L55" i="71" a="1"/>
  <c r="L57" i="71" a="1"/>
  <c r="L59" i="71" a="1"/>
  <c r="L61" i="71" a="1"/>
  <c r="L63" i="71" a="1"/>
  <c r="L65" i="71" a="1"/>
  <c r="L67" i="71" a="1"/>
  <c r="L69" i="71" a="1"/>
  <c r="L71" i="71" a="1"/>
  <c r="L73" i="71" a="1"/>
  <c r="L75" i="71" a="1"/>
  <c r="L77" i="71" a="1"/>
  <c r="L79" i="71" a="1"/>
  <c r="L81" i="71" a="1"/>
  <c r="L83" i="71" a="1"/>
  <c r="L85" i="71" a="1"/>
  <c r="L87" i="71" a="1"/>
  <c r="L89" i="71" a="1"/>
  <c r="L91" i="71" a="1"/>
  <c r="L93" i="71" a="1"/>
  <c r="L95" i="71" a="1"/>
  <c r="L97" i="71" a="1"/>
  <c r="L99" i="71" a="1"/>
  <c r="L101" i="71" a="1"/>
  <c r="L72" i="71" a="1"/>
  <c r="L90" i="71" a="1"/>
  <c r="L94" i="71" a="1"/>
  <c r="L98" i="71" a="1"/>
  <c r="L70" i="71" a="1"/>
  <c r="L4" i="71" a="1"/>
  <c r="L6" i="71" a="1"/>
  <c r="L8" i="71" a="1"/>
  <c r="L10" i="71" a="1"/>
  <c r="L12" i="71" a="1"/>
  <c r="L14" i="71" a="1"/>
  <c r="L16" i="71" a="1"/>
  <c r="L18" i="71" a="1"/>
  <c r="L20" i="71" a="1"/>
  <c r="L22" i="71" a="1"/>
  <c r="L24" i="71" a="1"/>
  <c r="L26" i="71" a="1"/>
  <c r="L28" i="71" a="1"/>
  <c r="L30" i="71" a="1"/>
  <c r="L32" i="71" a="1"/>
  <c r="L34" i="71" a="1"/>
  <c r="L36" i="71" a="1"/>
  <c r="L38" i="71" a="1"/>
  <c r="L40" i="71" a="1"/>
  <c r="L42" i="71" a="1"/>
  <c r="L44" i="71" a="1"/>
  <c r="L46" i="71" a="1"/>
  <c r="L48" i="71" a="1"/>
  <c r="L50" i="71" a="1"/>
  <c r="L52" i="71" a="1"/>
  <c r="L54" i="71" a="1"/>
  <c r="L56" i="71" a="1"/>
  <c r="L58" i="71" a="1"/>
  <c r="L60" i="71" a="1"/>
  <c r="L62" i="71" a="1"/>
  <c r="L64" i="71" a="1"/>
  <c r="L66" i="71" a="1"/>
  <c r="L68" i="71" a="1"/>
  <c r="L74" i="71" a="1"/>
  <c r="L76" i="71" a="1"/>
  <c r="L78" i="71" a="1"/>
  <c r="L80" i="71" a="1"/>
  <c r="L82" i="71" a="1"/>
  <c r="L84" i="71" a="1"/>
  <c r="L86" i="71" a="1"/>
  <c r="L88" i="71" a="1"/>
  <c r="L92" i="71" a="1"/>
  <c r="L96" i="71" a="1"/>
  <c r="L100" i="71" a="1"/>
  <c r="L2" i="71" a="1"/>
  <c r="I3" i="71" a="1"/>
  <c r="I5" i="71" a="1"/>
  <c r="I7" i="71" a="1"/>
  <c r="I9" i="71" a="1"/>
  <c r="I11" i="71" a="1"/>
  <c r="I13" i="71" a="1"/>
  <c r="I15" i="71" a="1"/>
  <c r="I17" i="71" a="1"/>
  <c r="I19" i="71" a="1"/>
  <c r="I21" i="71" a="1"/>
  <c r="I23" i="71" a="1"/>
  <c r="I25" i="71" a="1"/>
  <c r="I27" i="71" a="1"/>
  <c r="I29" i="71" a="1"/>
  <c r="I31" i="71" a="1"/>
  <c r="I33" i="71" a="1"/>
  <c r="I35" i="71" a="1"/>
  <c r="I37" i="71" a="1"/>
  <c r="I39" i="71" a="1"/>
  <c r="I41" i="71" a="1"/>
  <c r="I43" i="71" a="1"/>
  <c r="I45" i="71" a="1"/>
  <c r="I47" i="71" a="1"/>
  <c r="I49" i="71" a="1"/>
  <c r="I51" i="71" a="1"/>
  <c r="I53" i="71" a="1"/>
  <c r="I55" i="71" a="1"/>
  <c r="I57" i="71" a="1"/>
  <c r="I59" i="71" a="1"/>
  <c r="I61" i="71" a="1"/>
  <c r="I63" i="71" a="1"/>
  <c r="I65" i="71" a="1"/>
  <c r="I67" i="71" a="1"/>
  <c r="I69" i="71" a="1"/>
  <c r="I71" i="71" a="1"/>
  <c r="I73" i="71" a="1"/>
  <c r="I75" i="71" a="1"/>
  <c r="I77" i="71" a="1"/>
  <c r="I79" i="71" a="1"/>
  <c r="I81" i="71" a="1"/>
  <c r="I83" i="71" a="1"/>
  <c r="I85" i="71" a="1"/>
  <c r="I87" i="71" a="1"/>
  <c r="I89" i="71" a="1"/>
  <c r="I91" i="71" a="1"/>
  <c r="I93" i="71" a="1"/>
  <c r="I95" i="71" a="1"/>
  <c r="I97" i="71" a="1"/>
  <c r="I99" i="71" a="1"/>
  <c r="I101" i="71" a="1"/>
  <c r="I4" i="71" a="1"/>
  <c r="I6" i="71" a="1"/>
  <c r="I8" i="71" a="1"/>
  <c r="I10" i="71" a="1"/>
  <c r="I12" i="71" a="1"/>
  <c r="I14" i="71" a="1"/>
  <c r="I16" i="71" a="1"/>
  <c r="I18" i="71" a="1"/>
  <c r="I20" i="71" a="1"/>
  <c r="I22" i="71" a="1"/>
  <c r="I24" i="71" a="1"/>
  <c r="I26" i="71" a="1"/>
  <c r="I28" i="71" a="1"/>
  <c r="I30" i="71" a="1"/>
  <c r="I32" i="71" a="1"/>
  <c r="I34" i="71" a="1"/>
  <c r="I36" i="71" a="1"/>
  <c r="I38" i="71" a="1"/>
  <c r="I40" i="71" a="1"/>
  <c r="I42" i="71" a="1"/>
  <c r="I44" i="71" a="1"/>
  <c r="I46" i="71" a="1"/>
  <c r="I48" i="71" a="1"/>
  <c r="I50" i="71" a="1"/>
  <c r="I52" i="71" a="1"/>
  <c r="I54" i="71" a="1"/>
  <c r="I56" i="71" a="1"/>
  <c r="I58" i="71" a="1"/>
  <c r="I60" i="71" a="1"/>
  <c r="I62" i="71" a="1"/>
  <c r="I64" i="71" a="1"/>
  <c r="I66" i="71" a="1"/>
  <c r="I68" i="71" a="1"/>
  <c r="I70" i="71" a="1"/>
  <c r="I72" i="71" a="1"/>
  <c r="I74" i="71" a="1"/>
  <c r="I76" i="71" a="1"/>
  <c r="I78" i="71" a="1"/>
  <c r="I80" i="71" a="1"/>
  <c r="I82" i="71" a="1"/>
  <c r="I84" i="71" a="1"/>
  <c r="I86" i="71" a="1"/>
  <c r="I88" i="71" a="1"/>
  <c r="I90" i="71" a="1"/>
  <c r="I92" i="71" a="1"/>
  <c r="I94" i="71" a="1"/>
  <c r="I96" i="71" a="1"/>
  <c r="I98" i="71" a="1"/>
  <c r="I100" i="71" a="1"/>
  <c r="I2" i="71" a="1"/>
  <c r="H3" i="71" a="1"/>
  <c r="H5" i="71" a="1"/>
  <c r="H7" i="71" a="1"/>
  <c r="H9" i="71" a="1"/>
  <c r="H11" i="71" a="1"/>
  <c r="H13" i="71" a="1"/>
  <c r="H15" i="71" a="1"/>
  <c r="H17" i="71" a="1"/>
  <c r="H19" i="71" a="1"/>
  <c r="H21" i="71" a="1"/>
  <c r="H23" i="71" a="1"/>
  <c r="H25" i="71" a="1"/>
  <c r="H27" i="71" a="1"/>
  <c r="H29" i="71" a="1"/>
  <c r="H31" i="71" a="1"/>
  <c r="H33" i="71" a="1"/>
  <c r="H35" i="71" a="1"/>
  <c r="H37" i="71" a="1"/>
  <c r="H39" i="71" a="1"/>
  <c r="H41" i="71" a="1"/>
  <c r="H43" i="71" a="1"/>
  <c r="H45" i="71" a="1"/>
  <c r="H47" i="71" a="1"/>
  <c r="H49" i="71" a="1"/>
  <c r="H51" i="71" a="1"/>
  <c r="H53" i="71" a="1"/>
  <c r="H55" i="71" a="1"/>
  <c r="H57" i="71" a="1"/>
  <c r="H59" i="71" a="1"/>
  <c r="H61" i="71" a="1"/>
  <c r="H63" i="71" a="1"/>
  <c r="H65" i="71" a="1"/>
  <c r="H67" i="71" a="1"/>
  <c r="H69" i="71" a="1"/>
  <c r="H71" i="71" a="1"/>
  <c r="H73" i="71" a="1"/>
  <c r="H75" i="71" a="1"/>
  <c r="H77" i="71" a="1"/>
  <c r="H79" i="71" a="1"/>
  <c r="H81" i="71" a="1"/>
  <c r="H83" i="71" a="1"/>
  <c r="H85" i="71" a="1"/>
  <c r="H87" i="71" a="1"/>
  <c r="H89" i="71" a="1"/>
  <c r="H91" i="71" a="1"/>
  <c r="H93" i="71" a="1"/>
  <c r="H95" i="71" a="1"/>
  <c r="H97" i="71" a="1"/>
  <c r="H99" i="71" a="1"/>
  <c r="H101" i="71" a="1"/>
  <c r="H4" i="71" a="1"/>
  <c r="H6" i="71" a="1"/>
  <c r="H8" i="71" a="1"/>
  <c r="H10" i="71" a="1"/>
  <c r="H12" i="71" a="1"/>
  <c r="H14" i="71" a="1"/>
  <c r="H16" i="71" a="1"/>
  <c r="H18" i="71" a="1"/>
  <c r="H20" i="71" a="1"/>
  <c r="H22" i="71" a="1"/>
  <c r="H24" i="71" a="1"/>
  <c r="H26" i="71" a="1"/>
  <c r="H28" i="71" a="1"/>
  <c r="H30" i="71" a="1"/>
  <c r="H32" i="71" a="1"/>
  <c r="H34" i="71" a="1"/>
  <c r="H36" i="71" a="1"/>
  <c r="H38" i="71" a="1"/>
  <c r="H40" i="71" a="1"/>
  <c r="H42" i="71" a="1"/>
  <c r="H44" i="71" a="1"/>
  <c r="H46" i="71" a="1"/>
  <c r="H48" i="71" a="1"/>
  <c r="H50" i="71" a="1"/>
  <c r="H52" i="71" a="1"/>
  <c r="H54" i="71" a="1"/>
  <c r="H56" i="71" a="1"/>
  <c r="H58" i="71" a="1"/>
  <c r="H60" i="71" a="1"/>
  <c r="H62" i="71" a="1"/>
  <c r="H64" i="71" a="1"/>
  <c r="H66" i="71" a="1"/>
  <c r="H68" i="71" a="1"/>
  <c r="H70" i="71" a="1"/>
  <c r="H72" i="71" a="1"/>
  <c r="H74" i="71" a="1"/>
  <c r="H76" i="71" a="1"/>
  <c r="H78" i="71" a="1"/>
  <c r="H80" i="71" a="1"/>
  <c r="H82" i="71" a="1"/>
  <c r="H84" i="71" a="1"/>
  <c r="H86" i="71" a="1"/>
  <c r="H88" i="71" a="1"/>
  <c r="H90" i="71" a="1"/>
  <c r="H92" i="71" a="1"/>
  <c r="H94" i="71" a="1"/>
  <c r="H96" i="71" a="1"/>
  <c r="H98" i="71" a="1"/>
  <c r="H100" i="71" a="1"/>
  <c r="D3" i="71" a="1"/>
  <c r="D5" i="71" a="1"/>
  <c r="D7" i="71" a="1"/>
  <c r="D9" i="71" a="1"/>
  <c r="D11" i="71" a="1"/>
  <c r="D13" i="71" a="1"/>
  <c r="D15" i="71" a="1"/>
  <c r="D17" i="71" a="1"/>
  <c r="D19" i="71" a="1"/>
  <c r="D21" i="71" a="1"/>
  <c r="D23" i="71" a="1"/>
  <c r="D25" i="71" a="1"/>
  <c r="D27" i="71" a="1"/>
  <c r="D29" i="71" a="1"/>
  <c r="D31" i="71" a="1"/>
  <c r="D33" i="71" a="1"/>
  <c r="D35" i="71" a="1"/>
  <c r="D37" i="71" a="1"/>
  <c r="D39" i="71" a="1"/>
  <c r="D41" i="71" a="1"/>
  <c r="D43" i="71" a="1"/>
  <c r="D45" i="71" a="1"/>
  <c r="D47" i="71" a="1"/>
  <c r="D49" i="71" a="1"/>
  <c r="D51" i="71" a="1"/>
  <c r="D53" i="71" a="1"/>
  <c r="D55" i="71" a="1"/>
  <c r="D57" i="71" a="1"/>
  <c r="D59" i="71" a="1"/>
  <c r="D61" i="71" a="1"/>
  <c r="D63" i="71" a="1"/>
  <c r="D65" i="71" a="1"/>
  <c r="D67" i="71" a="1"/>
  <c r="D69" i="71" a="1"/>
  <c r="D71" i="71" a="1"/>
  <c r="D73" i="71" a="1"/>
  <c r="D75" i="71" a="1"/>
  <c r="D77" i="71" a="1"/>
  <c r="D79" i="71" a="1"/>
  <c r="D81" i="71" a="1"/>
  <c r="D83" i="71" a="1"/>
  <c r="D85" i="71" a="1"/>
  <c r="D87" i="71" a="1"/>
  <c r="D89" i="71" a="1"/>
  <c r="D91" i="71" a="1"/>
  <c r="D93" i="71" a="1"/>
  <c r="D95" i="71" a="1"/>
  <c r="D97" i="71" a="1"/>
  <c r="D99" i="71" a="1"/>
  <c r="D101" i="71" a="1"/>
  <c r="D4" i="71" a="1"/>
  <c r="D6" i="71" a="1"/>
  <c r="D8" i="71" a="1"/>
  <c r="D10" i="71" a="1"/>
  <c r="D12" i="71" a="1"/>
  <c r="D14" i="71" a="1"/>
  <c r="D16" i="71" a="1"/>
  <c r="D18" i="71" a="1"/>
  <c r="D20" i="71" a="1"/>
  <c r="D22" i="71" a="1"/>
  <c r="D24" i="71" a="1"/>
  <c r="D26" i="71" a="1"/>
  <c r="D28" i="71" a="1"/>
  <c r="D30" i="71" a="1"/>
  <c r="D32" i="71" a="1"/>
  <c r="D34" i="71" a="1"/>
  <c r="D36" i="71" a="1"/>
  <c r="D38" i="71" a="1"/>
  <c r="D40" i="71" a="1"/>
  <c r="D42" i="71" a="1"/>
  <c r="D44" i="71" a="1"/>
  <c r="D46" i="71" a="1"/>
  <c r="D48" i="71" a="1"/>
  <c r="D50" i="71" a="1"/>
  <c r="D52" i="71" a="1"/>
  <c r="D54" i="71" a="1"/>
  <c r="D56" i="71" a="1"/>
  <c r="D58" i="71" a="1"/>
  <c r="D60" i="71" a="1"/>
  <c r="D62" i="71" a="1"/>
  <c r="D64" i="71" a="1"/>
  <c r="D66" i="71" a="1"/>
  <c r="D68" i="71" a="1"/>
  <c r="D70" i="71" a="1"/>
  <c r="D72" i="71" a="1"/>
  <c r="D74" i="71" a="1"/>
  <c r="D76" i="71" a="1"/>
  <c r="D78" i="71" a="1"/>
  <c r="D80" i="71" a="1"/>
  <c r="D82" i="71" a="1"/>
  <c r="D84" i="71" a="1"/>
  <c r="D86" i="71" a="1"/>
  <c r="D88" i="71" a="1"/>
  <c r="D90" i="71" a="1"/>
  <c r="D92" i="71" a="1"/>
  <c r="D94" i="71" a="1"/>
  <c r="D96" i="71" a="1"/>
  <c r="D98" i="71" a="1"/>
  <c r="D100" i="71" a="1"/>
  <c r="M3" i="70" a="1"/>
  <c r="M5" i="70" a="1"/>
  <c r="M7" i="70" a="1"/>
  <c r="M9" i="70" a="1"/>
  <c r="M11" i="70" a="1"/>
  <c r="M13" i="70" a="1"/>
  <c r="M15" i="70" a="1"/>
  <c r="M17" i="70" a="1"/>
  <c r="M19" i="70" a="1"/>
  <c r="M21" i="70" a="1"/>
  <c r="M23" i="70" a="1"/>
  <c r="M25" i="70" a="1"/>
  <c r="M27" i="70" a="1"/>
  <c r="M29" i="70" a="1"/>
  <c r="M31" i="70" a="1"/>
  <c r="M33" i="70" a="1"/>
  <c r="M35" i="70" a="1"/>
  <c r="M37" i="70" a="1"/>
  <c r="M39" i="70" a="1"/>
  <c r="M41" i="70" a="1"/>
  <c r="M43" i="70" a="1"/>
  <c r="M45" i="70" a="1"/>
  <c r="M47" i="70" a="1"/>
  <c r="M49" i="70" a="1"/>
  <c r="M51" i="70" a="1"/>
  <c r="M53" i="70" a="1"/>
  <c r="M55" i="70" a="1"/>
  <c r="M57" i="70" a="1"/>
  <c r="M59" i="70" a="1"/>
  <c r="M61" i="70" a="1"/>
  <c r="M63" i="70" a="1"/>
  <c r="M65" i="70" a="1"/>
  <c r="M67" i="70" a="1"/>
  <c r="M69" i="70" a="1"/>
  <c r="M71" i="70" a="1"/>
  <c r="M73" i="70" a="1"/>
  <c r="M75" i="70" a="1"/>
  <c r="M77" i="70" a="1"/>
  <c r="M79" i="70" a="1"/>
  <c r="M81" i="70" a="1"/>
  <c r="M83" i="70" a="1"/>
  <c r="M85" i="70" a="1"/>
  <c r="M87" i="70" a="1"/>
  <c r="M89" i="70" a="1"/>
  <c r="M91" i="70" a="1"/>
  <c r="M93" i="70" a="1"/>
  <c r="M95" i="70" a="1"/>
  <c r="M97" i="70" a="1"/>
  <c r="M99" i="70" a="1"/>
  <c r="M101" i="70" a="1"/>
  <c r="M6" i="70" a="1"/>
  <c r="M8" i="70" a="1"/>
  <c r="M10" i="70" a="1"/>
  <c r="M12" i="70" a="1"/>
  <c r="M14" i="70" a="1"/>
  <c r="M16" i="70" a="1"/>
  <c r="M18" i="70" a="1"/>
  <c r="M20" i="70" a="1"/>
  <c r="M22" i="70" a="1"/>
  <c r="M24" i="70" a="1"/>
  <c r="M28" i="70" a="1"/>
  <c r="M30" i="70" a="1"/>
  <c r="M34" i="70" a="1"/>
  <c r="M38" i="70" a="1"/>
  <c r="M42" i="70" a="1"/>
  <c r="M46" i="70" a="1"/>
  <c r="M48" i="70" a="1"/>
  <c r="M52" i="70" a="1"/>
  <c r="M56" i="70" a="1"/>
  <c r="M60" i="70" a="1"/>
  <c r="M64" i="70" a="1"/>
  <c r="M68" i="70" a="1"/>
  <c r="M72" i="70" a="1"/>
  <c r="M76" i="70" a="1"/>
  <c r="M80" i="70" a="1"/>
  <c r="M84" i="70" a="1"/>
  <c r="M88" i="70" a="1"/>
  <c r="M92" i="70" a="1"/>
  <c r="M96" i="70" a="1"/>
  <c r="M100" i="70" a="1"/>
  <c r="M4" i="70" a="1"/>
  <c r="M26" i="70" a="1"/>
  <c r="M32" i="70" a="1"/>
  <c r="M36" i="70" a="1"/>
  <c r="M40" i="70" a="1"/>
  <c r="M44" i="70" a="1"/>
  <c r="M50" i="70" a="1"/>
  <c r="M54" i="70" a="1"/>
  <c r="M58" i="70" a="1"/>
  <c r="M62" i="70" a="1"/>
  <c r="M66" i="70" a="1"/>
  <c r="M70" i="70" a="1"/>
  <c r="M74" i="70" a="1"/>
  <c r="M78" i="70" a="1"/>
  <c r="M82" i="70" a="1"/>
  <c r="M86" i="70" a="1"/>
  <c r="M90" i="70" a="1"/>
  <c r="M94" i="70" a="1"/>
  <c r="M98" i="70" a="1"/>
  <c r="M2" i="70" a="1"/>
  <c r="I3" i="70" a="1"/>
  <c r="I5" i="70" a="1"/>
  <c r="I7" i="70" a="1"/>
  <c r="I9" i="70" a="1"/>
  <c r="I11" i="70" a="1"/>
  <c r="I13" i="70" a="1"/>
  <c r="I15" i="70" a="1"/>
  <c r="I17" i="70" a="1"/>
  <c r="I19" i="70" a="1"/>
  <c r="I21" i="70" a="1"/>
  <c r="I23" i="70" a="1"/>
  <c r="I25" i="70" a="1"/>
  <c r="I27" i="70" a="1"/>
  <c r="I29" i="70" a="1"/>
  <c r="I31" i="70" a="1"/>
  <c r="I33" i="70" a="1"/>
  <c r="I35" i="70" a="1"/>
  <c r="I37" i="70" a="1"/>
  <c r="I39" i="70" a="1"/>
  <c r="I41" i="70" a="1"/>
  <c r="I43" i="70" a="1"/>
  <c r="I45" i="70" a="1"/>
  <c r="I47" i="70" a="1"/>
  <c r="I49" i="70" a="1"/>
  <c r="I51" i="70" a="1"/>
  <c r="I53" i="70" a="1"/>
  <c r="I55" i="70" a="1"/>
  <c r="I57" i="70" a="1"/>
  <c r="I59" i="70" a="1"/>
  <c r="I61" i="70" a="1"/>
  <c r="I63" i="70" a="1"/>
  <c r="I65" i="70" a="1"/>
  <c r="I67" i="70" a="1"/>
  <c r="I69" i="70" a="1"/>
  <c r="I71" i="70" a="1"/>
  <c r="I73" i="70" a="1"/>
  <c r="I75" i="70" a="1"/>
  <c r="I77" i="70" a="1"/>
  <c r="I79" i="70" a="1"/>
  <c r="I81" i="70" a="1"/>
  <c r="I83" i="70" a="1"/>
  <c r="I85" i="70" a="1"/>
  <c r="I87" i="70" a="1"/>
  <c r="I89" i="70" a="1"/>
  <c r="I91" i="70" a="1"/>
  <c r="I93" i="70" a="1"/>
  <c r="I95" i="70" a="1"/>
  <c r="I97" i="70" a="1"/>
  <c r="I99" i="70" a="1"/>
  <c r="I101" i="70" a="1"/>
  <c r="I4" i="70" a="1"/>
  <c r="I6" i="70" a="1"/>
  <c r="I8" i="70" a="1"/>
  <c r="I10" i="70" a="1"/>
  <c r="I12" i="70" a="1"/>
  <c r="I14" i="70" a="1"/>
  <c r="I16" i="70" a="1"/>
  <c r="I18" i="70" a="1"/>
  <c r="I20" i="70" a="1"/>
  <c r="I22" i="70" a="1"/>
  <c r="I24" i="70" a="1"/>
  <c r="I26" i="70" a="1"/>
  <c r="I28" i="70" a="1"/>
  <c r="I30" i="70" a="1"/>
  <c r="I32" i="70" a="1"/>
  <c r="I34" i="70" a="1"/>
  <c r="I36" i="70" a="1"/>
  <c r="I38" i="70" a="1"/>
  <c r="I40" i="70" a="1"/>
  <c r="I42" i="70" a="1"/>
  <c r="I44" i="70" a="1"/>
  <c r="I46" i="70" a="1"/>
  <c r="I48" i="70" a="1"/>
  <c r="I50" i="70" a="1"/>
  <c r="I52" i="70" a="1"/>
  <c r="I54" i="70" a="1"/>
  <c r="I56" i="70" a="1"/>
  <c r="I58" i="70" a="1"/>
  <c r="I60" i="70" a="1"/>
  <c r="I62" i="70" a="1"/>
  <c r="I64" i="70" a="1"/>
  <c r="I66" i="70" a="1"/>
  <c r="I68" i="70" a="1"/>
  <c r="I70" i="70" a="1"/>
  <c r="I72" i="70" a="1"/>
  <c r="I74" i="70" a="1"/>
  <c r="I76" i="70" a="1"/>
  <c r="I78" i="70" a="1"/>
  <c r="I80" i="70" a="1"/>
  <c r="I82" i="70" a="1"/>
  <c r="I84" i="70" a="1"/>
  <c r="I86" i="70" a="1"/>
  <c r="I88" i="70" a="1"/>
  <c r="I90" i="70" a="1"/>
  <c r="I92" i="70" a="1"/>
  <c r="I94" i="70" a="1"/>
  <c r="I96" i="70" a="1"/>
  <c r="I98" i="70" a="1"/>
  <c r="I100" i="70" a="1"/>
  <c r="I2" i="70" a="1"/>
  <c r="D2" i="71" a="1"/>
  <c r="H2" i="71" a="1"/>
  <c r="L3" i="70" a="1"/>
  <c r="L4" i="70" a="1"/>
  <c r="L5" i="70" a="1"/>
  <c r="L6" i="70" a="1"/>
  <c r="L7" i="70" a="1"/>
  <c r="L8" i="70" a="1"/>
  <c r="L9" i="70" a="1"/>
  <c r="L10" i="70" a="1"/>
  <c r="L11" i="70" a="1"/>
  <c r="L12" i="70" a="1"/>
  <c r="L13" i="70" a="1"/>
  <c r="L14" i="70" a="1"/>
  <c r="L15" i="70" a="1"/>
  <c r="L16" i="70" a="1"/>
  <c r="L17" i="70" a="1"/>
  <c r="L18" i="70" a="1"/>
  <c r="L19" i="70" a="1"/>
  <c r="L20" i="70" a="1"/>
  <c r="L21" i="70" a="1"/>
  <c r="L22" i="70" a="1"/>
  <c r="L23" i="70" a="1"/>
  <c r="L24" i="70" a="1"/>
  <c r="L25" i="70" a="1"/>
  <c r="L26" i="70" a="1"/>
  <c r="L27" i="70" a="1"/>
  <c r="L28" i="70" a="1"/>
  <c r="L29" i="70" a="1"/>
  <c r="L30" i="70" a="1"/>
  <c r="L31" i="70" a="1"/>
  <c r="L32" i="70" a="1"/>
  <c r="L34" i="70" a="1"/>
  <c r="L36" i="70" a="1"/>
  <c r="L38" i="70" a="1"/>
  <c r="L40" i="70" a="1"/>
  <c r="L42" i="70" a="1"/>
  <c r="L46" i="70" a="1"/>
  <c r="L50" i="70" a="1"/>
  <c r="L54" i="70" a="1"/>
  <c r="L58" i="70" a="1"/>
  <c r="L62" i="70" a="1"/>
  <c r="L66" i="70" a="1"/>
  <c r="L70" i="70" a="1"/>
  <c r="L74" i="70" a="1"/>
  <c r="L78" i="70" a="1"/>
  <c r="L82" i="70" a="1"/>
  <c r="L86" i="70" a="1"/>
  <c r="L45" i="70" a="1"/>
  <c r="L49" i="70" a="1"/>
  <c r="L53" i="70" a="1"/>
  <c r="L57" i="70" a="1"/>
  <c r="L61" i="70" a="1"/>
  <c r="L65" i="70" a="1"/>
  <c r="L69" i="70" a="1"/>
  <c r="L73" i="70" a="1"/>
  <c r="L77" i="70" a="1"/>
  <c r="L81" i="70" a="1"/>
  <c r="L85" i="70" a="1"/>
  <c r="L33" i="70" a="1"/>
  <c r="L35" i="70" a="1"/>
  <c r="L37" i="70" a="1"/>
  <c r="L39" i="70" a="1"/>
  <c r="L41" i="70" a="1"/>
  <c r="L44" i="70" a="1"/>
  <c r="L48" i="70" a="1"/>
  <c r="L52" i="70" a="1"/>
  <c r="L56" i="70" a="1"/>
  <c r="L60" i="70" a="1"/>
  <c r="L64" i="70" a="1"/>
  <c r="L68" i="70" a="1"/>
  <c r="L72" i="70" a="1"/>
  <c r="L76" i="70" a="1"/>
  <c r="L80" i="70" a="1"/>
  <c r="L84" i="70" a="1"/>
  <c r="L88" i="70" a="1"/>
  <c r="L89" i="70" a="1"/>
  <c r="L90" i="70" a="1"/>
  <c r="L91" i="70" a="1"/>
  <c r="L92" i="70" a="1"/>
  <c r="L93" i="70" a="1"/>
  <c r="L94" i="70" a="1"/>
  <c r="L95" i="70" a="1"/>
  <c r="L96" i="70" a="1"/>
  <c r="L97" i="70" a="1"/>
  <c r="L98" i="70" a="1"/>
  <c r="L99" i="70" a="1"/>
  <c r="L100" i="70" a="1"/>
  <c r="L101" i="70" a="1"/>
  <c r="L43" i="70" a="1"/>
  <c r="L47" i="70" a="1"/>
  <c r="L51" i="70" a="1"/>
  <c r="L55" i="70" a="1"/>
  <c r="L59" i="70" a="1"/>
  <c r="L63" i="70" a="1"/>
  <c r="L67" i="70" a="1"/>
  <c r="L71" i="70" a="1"/>
  <c r="L75" i="70" a="1"/>
  <c r="L79" i="70" a="1"/>
  <c r="L83" i="70" a="1"/>
  <c r="L87" i="70" a="1"/>
  <c r="L2" i="70" a="1"/>
  <c r="D3" i="70" a="1"/>
  <c r="D5" i="70" a="1"/>
  <c r="D7" i="70" a="1"/>
  <c r="D9" i="70" a="1"/>
  <c r="D11" i="70" a="1"/>
  <c r="D13" i="70" a="1"/>
  <c r="D15" i="70" a="1"/>
  <c r="D17" i="70" a="1"/>
  <c r="D19" i="70" a="1"/>
  <c r="D21" i="70" a="1"/>
  <c r="D23" i="70" a="1"/>
  <c r="D25" i="70" a="1"/>
  <c r="D27" i="70" a="1"/>
  <c r="D29" i="70" a="1"/>
  <c r="D31" i="70" a="1"/>
  <c r="D33" i="70" a="1"/>
  <c r="D35" i="70" a="1"/>
  <c r="D37" i="70" a="1"/>
  <c r="D39" i="70" a="1"/>
  <c r="D41" i="70" a="1"/>
  <c r="D43" i="70" a="1"/>
  <c r="D45" i="70" a="1"/>
  <c r="D47" i="70" a="1"/>
  <c r="D49" i="70" a="1"/>
  <c r="D51" i="70" a="1"/>
  <c r="D53" i="70" a="1"/>
  <c r="D55" i="70" a="1"/>
  <c r="D57" i="70" a="1"/>
  <c r="D59" i="70" a="1"/>
  <c r="D61" i="70" a="1"/>
  <c r="D63" i="70" a="1"/>
  <c r="D65" i="70" a="1"/>
  <c r="D67" i="70" a="1"/>
  <c r="D69" i="70" a="1"/>
  <c r="D71" i="70" a="1"/>
  <c r="D73" i="70" a="1"/>
  <c r="D75" i="70" a="1"/>
  <c r="D77" i="70" a="1"/>
  <c r="D79" i="70" a="1"/>
  <c r="D81" i="70" a="1"/>
  <c r="D83" i="70" a="1"/>
  <c r="D85" i="70" a="1"/>
  <c r="D87" i="70" a="1"/>
  <c r="D89" i="70" a="1"/>
  <c r="D91" i="70" a="1"/>
  <c r="D93" i="70" a="1"/>
  <c r="D95" i="70" a="1"/>
  <c r="D97" i="70" a="1"/>
  <c r="D99" i="70" a="1"/>
  <c r="D101" i="70" a="1"/>
  <c r="D4" i="70" a="1"/>
  <c r="D6" i="70" a="1"/>
  <c r="D8" i="70" a="1"/>
  <c r="D10" i="70" a="1"/>
  <c r="D12" i="70" a="1"/>
  <c r="D14" i="70" a="1"/>
  <c r="D16" i="70" a="1"/>
  <c r="D18" i="70" a="1"/>
  <c r="D20" i="70" a="1"/>
  <c r="D22" i="70" a="1"/>
  <c r="D24" i="70" a="1"/>
  <c r="D26" i="70" a="1"/>
  <c r="D28" i="70" a="1"/>
  <c r="D30" i="70" a="1"/>
  <c r="D32" i="70" a="1"/>
  <c r="D34" i="70" a="1"/>
  <c r="D36" i="70" a="1"/>
  <c r="D38" i="70" a="1"/>
  <c r="D40" i="70" a="1"/>
  <c r="D42" i="70" a="1"/>
  <c r="D44" i="70" a="1"/>
  <c r="D46" i="70" a="1"/>
  <c r="D48" i="70" a="1"/>
  <c r="D50" i="70" a="1"/>
  <c r="D52" i="70" a="1"/>
  <c r="D54" i="70" a="1"/>
  <c r="D56" i="70" a="1"/>
  <c r="D58" i="70" a="1"/>
  <c r="D60" i="70" a="1"/>
  <c r="D62" i="70" a="1"/>
  <c r="D64" i="70" a="1"/>
  <c r="D66" i="70" a="1"/>
  <c r="D68" i="70" a="1"/>
  <c r="D70" i="70" a="1"/>
  <c r="D72" i="70" a="1"/>
  <c r="D74" i="70" a="1"/>
  <c r="D76" i="70" a="1"/>
  <c r="D78" i="70" a="1"/>
  <c r="D80" i="70" a="1"/>
  <c r="D82" i="70" a="1"/>
  <c r="D84" i="70" a="1"/>
  <c r="D86" i="70" a="1"/>
  <c r="D88" i="70" a="1"/>
  <c r="D90" i="70" a="1"/>
  <c r="D92" i="70" a="1"/>
  <c r="D94" i="70" a="1"/>
  <c r="D96" i="70" a="1"/>
  <c r="D98" i="70" a="1"/>
  <c r="D100" i="70" a="1"/>
  <c r="D2" i="70" a="1"/>
  <c r="H3" i="70" a="1"/>
  <c r="H5" i="70" a="1"/>
  <c r="H7" i="70" a="1"/>
  <c r="H9" i="70" a="1"/>
  <c r="H11" i="70" a="1"/>
  <c r="H13" i="70" a="1"/>
  <c r="H15" i="70" a="1"/>
  <c r="H17" i="70" a="1"/>
  <c r="H19" i="70" a="1"/>
  <c r="H21" i="70" a="1"/>
  <c r="H23" i="70" a="1"/>
  <c r="H25" i="70" a="1"/>
  <c r="H27" i="70" a="1"/>
  <c r="H29" i="70" a="1"/>
  <c r="H31" i="70" a="1"/>
  <c r="H33" i="70" a="1"/>
  <c r="H35" i="70" a="1"/>
  <c r="H37" i="70" a="1"/>
  <c r="H39" i="70" a="1"/>
  <c r="H41" i="70" a="1"/>
  <c r="H43" i="70" a="1"/>
  <c r="H45" i="70" a="1"/>
  <c r="H47" i="70" a="1"/>
  <c r="H49" i="70" a="1"/>
  <c r="H51" i="70" a="1"/>
  <c r="H53" i="70" a="1"/>
  <c r="H55" i="70" a="1"/>
  <c r="H57" i="70" a="1"/>
  <c r="H59" i="70" a="1"/>
  <c r="H61" i="70" a="1"/>
  <c r="H63" i="70" a="1"/>
  <c r="H65" i="70" a="1"/>
  <c r="H67" i="70" a="1"/>
  <c r="H69" i="70" a="1"/>
  <c r="H71" i="70" a="1"/>
  <c r="H73" i="70" a="1"/>
  <c r="H75" i="70" a="1"/>
  <c r="H77" i="70" a="1"/>
  <c r="H79" i="70" a="1"/>
  <c r="H81" i="70" a="1"/>
  <c r="H83" i="70" a="1"/>
  <c r="H85" i="70" a="1"/>
  <c r="H87" i="70" a="1"/>
  <c r="H89" i="70" a="1"/>
  <c r="H91" i="70" a="1"/>
  <c r="H93" i="70" a="1"/>
  <c r="H95" i="70" a="1"/>
  <c r="H97" i="70" a="1"/>
  <c r="H99" i="70" a="1"/>
  <c r="H101" i="70" a="1"/>
  <c r="H4" i="70" a="1"/>
  <c r="H6" i="70" a="1"/>
  <c r="H8" i="70" a="1"/>
  <c r="H10" i="70" a="1"/>
  <c r="H12" i="70" a="1"/>
  <c r="H14" i="70" a="1"/>
  <c r="H16" i="70" a="1"/>
  <c r="H18" i="70" a="1"/>
  <c r="H20" i="70" a="1"/>
  <c r="H22" i="70" a="1"/>
  <c r="H24" i="70" a="1"/>
  <c r="H26" i="70" a="1"/>
  <c r="H28" i="70" a="1"/>
  <c r="H30" i="70" a="1"/>
  <c r="H32" i="70" a="1"/>
  <c r="H34" i="70" a="1"/>
  <c r="H36" i="70" a="1"/>
  <c r="H38" i="70" a="1"/>
  <c r="H40" i="70" a="1"/>
  <c r="H42" i="70" a="1"/>
  <c r="H44" i="70" a="1"/>
  <c r="H46" i="70" a="1"/>
  <c r="H48" i="70" a="1"/>
  <c r="H50" i="70" a="1"/>
  <c r="H52" i="70" a="1"/>
  <c r="H54" i="70" a="1"/>
  <c r="H56" i="70" a="1"/>
  <c r="H58" i="70" a="1"/>
  <c r="H60" i="70" a="1"/>
  <c r="H62" i="70" a="1"/>
  <c r="H64" i="70" a="1"/>
  <c r="H66" i="70" a="1"/>
  <c r="H68" i="70" a="1"/>
  <c r="H70" i="70" a="1"/>
  <c r="H72" i="70" a="1"/>
  <c r="H74" i="70" a="1"/>
  <c r="H76" i="70" a="1"/>
  <c r="H78" i="70" a="1"/>
  <c r="H80" i="70" a="1"/>
  <c r="H82" i="70" a="1"/>
  <c r="H84" i="70" a="1"/>
  <c r="H86" i="70" a="1"/>
  <c r="H88" i="70" a="1"/>
  <c r="H90" i="70" a="1"/>
  <c r="H92" i="70" a="1"/>
  <c r="H94" i="70" a="1"/>
  <c r="H96" i="70" a="1"/>
  <c r="H98" i="70" a="1"/>
  <c r="H100" i="70" a="1"/>
  <c r="H2" i="70" a="1"/>
  <c r="F3" i="69" a="1"/>
  <c r="F5" i="69" a="1"/>
  <c r="F7" i="69" a="1"/>
  <c r="F9" i="69" a="1"/>
  <c r="F11" i="69" a="1"/>
  <c r="F13" i="69" a="1"/>
  <c r="F15" i="69" a="1"/>
  <c r="F17" i="69" a="1"/>
  <c r="F19" i="69" a="1"/>
  <c r="F21" i="69" a="1"/>
  <c r="F23" i="69" a="1"/>
  <c r="F25" i="69" a="1"/>
  <c r="F27" i="69" a="1"/>
  <c r="F29" i="69" a="1"/>
  <c r="F31" i="69" a="1"/>
  <c r="F33" i="69" a="1"/>
  <c r="F35" i="69" a="1"/>
  <c r="F37" i="69" a="1"/>
  <c r="F39" i="69" a="1"/>
  <c r="F41" i="69" a="1"/>
  <c r="F43" i="69" a="1"/>
  <c r="F45" i="69" a="1"/>
  <c r="F47" i="69" a="1"/>
  <c r="F49" i="69" a="1"/>
  <c r="F51" i="69" a="1"/>
  <c r="F53" i="69" a="1"/>
  <c r="F55" i="69" a="1"/>
  <c r="F57" i="69" a="1"/>
  <c r="F59" i="69" a="1"/>
  <c r="F61" i="69" a="1"/>
  <c r="F63" i="69" a="1"/>
  <c r="F65" i="69" a="1"/>
  <c r="F67" i="69" a="1"/>
  <c r="F69" i="69" a="1"/>
  <c r="F71" i="69" a="1"/>
  <c r="F73" i="69" a="1"/>
  <c r="F75" i="69" a="1"/>
  <c r="F77" i="69" a="1"/>
  <c r="F79" i="69" a="1"/>
  <c r="F81" i="69" a="1"/>
  <c r="F83" i="69" a="1"/>
  <c r="F85" i="69" a="1"/>
  <c r="F87" i="69" a="1"/>
  <c r="F89" i="69" a="1"/>
  <c r="F91" i="69" a="1"/>
  <c r="F93" i="69" a="1"/>
  <c r="F95" i="69" a="1"/>
  <c r="F97" i="69" a="1"/>
  <c r="F99" i="69" a="1"/>
  <c r="F101" i="69" a="1"/>
  <c r="F4" i="69" a="1"/>
  <c r="F6" i="69" a="1"/>
  <c r="F8" i="69" a="1"/>
  <c r="F10" i="69" a="1"/>
  <c r="F12" i="69" a="1"/>
  <c r="F14" i="69" a="1"/>
  <c r="F16" i="69" a="1"/>
  <c r="F18" i="69" a="1"/>
  <c r="F20" i="69" a="1"/>
  <c r="F22" i="69" a="1"/>
  <c r="F24" i="69" a="1"/>
  <c r="F26" i="69" a="1"/>
  <c r="F28" i="69" a="1"/>
  <c r="F30" i="69" a="1"/>
  <c r="F32" i="69" a="1"/>
  <c r="F34" i="69" a="1"/>
  <c r="F36" i="69" a="1"/>
  <c r="F38" i="69" a="1"/>
  <c r="F40" i="69" a="1"/>
  <c r="F42" i="69" a="1"/>
  <c r="F44" i="69" a="1"/>
  <c r="F46" i="69" a="1"/>
  <c r="F48" i="69" a="1"/>
  <c r="F50" i="69" a="1"/>
  <c r="F52" i="69" a="1"/>
  <c r="F54" i="69" a="1"/>
  <c r="F56" i="69" a="1"/>
  <c r="F58" i="69" a="1"/>
  <c r="F60" i="69" a="1"/>
  <c r="F62" i="69" a="1"/>
  <c r="F64" i="69" a="1"/>
  <c r="F66" i="69" a="1"/>
  <c r="F68" i="69" a="1"/>
  <c r="F70" i="69" a="1"/>
  <c r="F72" i="69" a="1"/>
  <c r="F74" i="69" a="1"/>
  <c r="F76" i="69" a="1"/>
  <c r="F78" i="69" a="1"/>
  <c r="F80" i="69" a="1"/>
  <c r="F82" i="69" a="1"/>
  <c r="F84" i="69" a="1"/>
  <c r="F86" i="69" a="1"/>
  <c r="F88" i="69" a="1"/>
  <c r="F90" i="69" a="1"/>
  <c r="F92" i="69" a="1"/>
  <c r="F94" i="69" a="1"/>
  <c r="F96" i="69" a="1"/>
  <c r="F98" i="69" a="1"/>
  <c r="F100" i="69" a="1"/>
  <c r="F102" i="69" a="1"/>
  <c r="F2" i="69" a="1"/>
  <c r="E3" i="69" a="1"/>
  <c r="E5" i="69" a="1"/>
  <c r="E7" i="69" a="1"/>
  <c r="E9" i="69" a="1"/>
  <c r="E11" i="69" a="1"/>
  <c r="E13" i="69" a="1"/>
  <c r="E15" i="69" a="1"/>
  <c r="E17" i="69" a="1"/>
  <c r="E19" i="69" a="1"/>
  <c r="E21" i="69" a="1"/>
  <c r="E23" i="69" a="1"/>
  <c r="E25" i="69" a="1"/>
  <c r="E27" i="69" a="1"/>
  <c r="E29" i="69" a="1"/>
  <c r="E31" i="69" a="1"/>
  <c r="E33" i="69" a="1"/>
  <c r="E35" i="69" a="1"/>
  <c r="E37" i="69" a="1"/>
  <c r="E39" i="69" a="1"/>
  <c r="E41" i="69" a="1"/>
  <c r="E43" i="69" a="1"/>
  <c r="E45" i="69" a="1"/>
  <c r="E47" i="69" a="1"/>
  <c r="E49" i="69" a="1"/>
  <c r="E51" i="69" a="1"/>
  <c r="E53" i="69" a="1"/>
  <c r="E55" i="69" a="1"/>
  <c r="E57" i="69" a="1"/>
  <c r="E59" i="69" a="1"/>
  <c r="E61" i="69" a="1"/>
  <c r="E63" i="69" a="1"/>
  <c r="E65" i="69" a="1"/>
  <c r="E67" i="69" a="1"/>
  <c r="E69" i="69" a="1"/>
  <c r="E71" i="69" a="1"/>
  <c r="E73" i="69" a="1"/>
  <c r="E75" i="69" a="1"/>
  <c r="E77" i="69" a="1"/>
  <c r="E79" i="69" a="1"/>
  <c r="E81" i="69" a="1"/>
  <c r="E83" i="69" a="1"/>
  <c r="E85" i="69" a="1"/>
  <c r="E87" i="69" a="1"/>
  <c r="E89" i="69" a="1"/>
  <c r="E91" i="69" a="1"/>
  <c r="E93" i="69" a="1"/>
  <c r="E95" i="69" a="1"/>
  <c r="E97" i="69" a="1"/>
  <c r="E99" i="69" a="1"/>
  <c r="E101" i="69" a="1"/>
  <c r="E4" i="69" a="1"/>
  <c r="E6" i="69" a="1"/>
  <c r="E8" i="69" a="1"/>
  <c r="E10" i="69" a="1"/>
  <c r="E12" i="69" a="1"/>
  <c r="E14" i="69" a="1"/>
  <c r="E16" i="69" a="1"/>
  <c r="E18" i="69" a="1"/>
  <c r="E20" i="69" a="1"/>
  <c r="E22" i="69" a="1"/>
  <c r="E24" i="69" a="1"/>
  <c r="E26" i="69" a="1"/>
  <c r="E28" i="69" a="1"/>
  <c r="E30" i="69" a="1"/>
  <c r="E32" i="69" a="1"/>
  <c r="E34" i="69" a="1"/>
  <c r="E36" i="69" a="1"/>
  <c r="E38" i="69" a="1"/>
  <c r="E40" i="69" a="1"/>
  <c r="E42" i="69" a="1"/>
  <c r="E44" i="69" a="1"/>
  <c r="E46" i="69" a="1"/>
  <c r="E48" i="69" a="1"/>
  <c r="E50" i="69" a="1"/>
  <c r="E52" i="69" a="1"/>
  <c r="E54" i="69" a="1"/>
  <c r="E56" i="69" a="1"/>
  <c r="E58" i="69" a="1"/>
  <c r="E60" i="69" a="1"/>
  <c r="E62" i="69" a="1"/>
  <c r="E64" i="69" a="1"/>
  <c r="E66" i="69" a="1"/>
  <c r="E68" i="69" a="1"/>
  <c r="E70" i="69" a="1"/>
  <c r="E72" i="69" a="1"/>
  <c r="E74" i="69" a="1"/>
  <c r="E76" i="69" a="1"/>
  <c r="E78" i="69" a="1"/>
  <c r="E80" i="69" a="1"/>
  <c r="E82" i="69" a="1"/>
  <c r="E84" i="69" a="1"/>
  <c r="E86" i="69" a="1"/>
  <c r="E88" i="69" a="1"/>
  <c r="E90" i="69" a="1"/>
  <c r="E92" i="69" a="1"/>
  <c r="E94" i="69" a="1"/>
  <c r="E96" i="69" a="1"/>
  <c r="E98" i="69" a="1"/>
  <c r="E100" i="69" a="1"/>
  <c r="E102" i="69" a="1"/>
  <c r="E2" i="69" a="1"/>
  <c r="B3" i="68" a="1"/>
  <c r="B4" i="68" a="1"/>
  <c r="B5" i="68" a="1"/>
  <c r="B6" i="68" a="1"/>
  <c r="B7" i="68" a="1"/>
  <c r="B8" i="68" a="1"/>
  <c r="B9" i="68" a="1"/>
  <c r="B10" i="68" a="1"/>
  <c r="B11" i="68" a="1"/>
  <c r="B12" i="68" a="1"/>
  <c r="B13" i="68" a="1"/>
  <c r="B14" i="68" a="1"/>
  <c r="B15" i="68" a="1"/>
  <c r="B16" i="68" a="1"/>
  <c r="B17" i="68" a="1"/>
  <c r="B18" i="68" a="1"/>
  <c r="B19" i="68" a="1"/>
  <c r="B20" i="68" a="1"/>
  <c r="B21" i="68" a="1"/>
  <c r="B22" i="68" a="1"/>
  <c r="B23" i="68" a="1"/>
  <c r="B24" i="68" a="1"/>
  <c r="B25" i="68" a="1"/>
  <c r="B26" i="68" a="1"/>
  <c r="B27" i="68" a="1"/>
  <c r="B28" i="68" a="1"/>
  <c r="B29" i="68" a="1"/>
  <c r="B30" i="68" a="1"/>
  <c r="B31" i="68" a="1"/>
  <c r="B32" i="68" a="1"/>
  <c r="B33" i="68" a="1"/>
  <c r="B34" i="68" a="1"/>
  <c r="B35" i="68" a="1"/>
  <c r="B36" i="68" a="1"/>
  <c r="B37" i="68" a="1"/>
  <c r="B38" i="68" a="1"/>
  <c r="B39" i="68" a="1"/>
  <c r="B40" i="68" a="1"/>
  <c r="B41" i="68" a="1"/>
  <c r="B42" i="68" a="1"/>
  <c r="B43" i="68" a="1"/>
  <c r="B44" i="68" a="1"/>
  <c r="B45" i="68" a="1"/>
  <c r="B49" i="68" a="1"/>
  <c r="B53" i="68" a="1"/>
  <c r="B46" i="68" a="1"/>
  <c r="B50" i="68" a="1"/>
  <c r="B54" i="68" a="1"/>
  <c r="B57" i="68" a="1"/>
  <c r="B59" i="68" a="1"/>
  <c r="B61" i="68" a="1"/>
  <c r="B63" i="68" a="1"/>
  <c r="B65" i="68" a="1"/>
  <c r="B67" i="68" a="1"/>
  <c r="B69" i="68" a="1"/>
  <c r="B71" i="68" a="1"/>
  <c r="B73" i="68" a="1"/>
  <c r="B75" i="68" a="1"/>
  <c r="B77" i="68" a="1"/>
  <c r="B79" i="68" a="1"/>
  <c r="B81" i="68" a="1"/>
  <c r="B83" i="68" a="1"/>
  <c r="B85" i="68" a="1"/>
  <c r="B87" i="68" a="1"/>
  <c r="B47" i="68" a="1"/>
  <c r="B51" i="68" a="1"/>
  <c r="B55" i="68" a="1"/>
  <c r="B48" i="68" a="1"/>
  <c r="B52" i="68" a="1"/>
  <c r="B56" i="68" a="1"/>
  <c r="B58" i="68" a="1"/>
  <c r="B60" i="68" a="1"/>
  <c r="B62" i="68" a="1"/>
  <c r="B64" i="68" a="1"/>
  <c r="B66" i="68" a="1"/>
  <c r="B135" i="68" a="1"/>
  <c r="B139" i="68" a="1"/>
  <c r="B143" i="68" a="1"/>
  <c r="B147" i="68" a="1"/>
  <c r="B151" i="68" a="1"/>
  <c r="B155" i="68" a="1"/>
  <c r="B156" i="68" a="1"/>
  <c r="B157" i="68" a="1"/>
  <c r="B158" i="68" a="1"/>
  <c r="B159" i="68" a="1"/>
  <c r="B160" i="68" a="1"/>
  <c r="B161" i="68" a="1"/>
  <c r="B162" i="68" a="1"/>
  <c r="B163" i="68" a="1"/>
  <c r="B164" i="68" a="1"/>
  <c r="B165" i="68" a="1"/>
  <c r="B166" i="68" a="1"/>
  <c r="B167" i="68" a="1"/>
  <c r="B168" i="68" a="1"/>
  <c r="B169" i="68" a="1"/>
  <c r="B170" i="68" a="1"/>
  <c r="B171" i="68" a="1"/>
  <c r="B172" i="68" a="1"/>
  <c r="B173" i="68" a="1"/>
  <c r="B174" i="68" a="1"/>
  <c r="B175" i="68" a="1"/>
  <c r="B176" i="68" a="1"/>
  <c r="B177" i="68" a="1"/>
  <c r="B178" i="68" a="1"/>
  <c r="B179" i="68" a="1"/>
  <c r="B180" i="68" a="1"/>
  <c r="B181" i="68" a="1"/>
  <c r="B182" i="68" a="1"/>
  <c r="B183" i="68" a="1"/>
  <c r="B184" i="68" a="1"/>
  <c r="B185" i="68" a="1"/>
  <c r="B186" i="68" a="1"/>
  <c r="B187" i="68" a="1"/>
  <c r="B188" i="68" a="1"/>
  <c r="B189" i="68" a="1"/>
  <c r="B190" i="68" a="1"/>
  <c r="B191" i="68" a="1"/>
  <c r="B192" i="68" a="1"/>
  <c r="B193" i="68" a="1"/>
  <c r="B194" i="68" a="1"/>
  <c r="B195" i="68" a="1"/>
  <c r="B196" i="68" a="1"/>
  <c r="B197" i="68" a="1"/>
  <c r="B198" i="68" a="1"/>
  <c r="B199" i="68" a="1"/>
  <c r="B200" i="68" a="1"/>
  <c r="B201" i="68" a="1"/>
  <c r="B202" i="68" a="1"/>
  <c r="B203" i="68" a="1"/>
  <c r="B204" i="68" a="1"/>
  <c r="B205" i="68" a="1"/>
  <c r="B206" i="68" a="1"/>
  <c r="B207" i="68" a="1"/>
  <c r="B208" i="68" a="1"/>
  <c r="B209" i="68" a="1"/>
  <c r="B210" i="68" a="1"/>
  <c r="B211" i="68" a="1"/>
  <c r="B212" i="68" a="1"/>
  <c r="B213" i="68" a="1"/>
  <c r="B214" i="68" a="1"/>
  <c r="B215" i="68" a="1"/>
  <c r="B216" i="68" a="1"/>
  <c r="B217" i="68" a="1"/>
  <c r="B218" i="68" a="1"/>
  <c r="B219" i="68" a="1"/>
  <c r="B220" i="68" a="1"/>
  <c r="B221" i="68" a="1"/>
  <c r="B222" i="68" a="1"/>
  <c r="B223" i="68" a="1"/>
  <c r="B224" i="68" a="1"/>
  <c r="B225" i="68" a="1"/>
  <c r="B226" i="68" a="1"/>
  <c r="B227" i="68" a="1"/>
  <c r="B228" i="68" a="1"/>
  <c r="B229" i="68" a="1"/>
  <c r="B230" i="68" a="1"/>
  <c r="B231" i="68" a="1"/>
  <c r="B232" i="68" a="1"/>
  <c r="B233" i="68" a="1"/>
  <c r="B68" i="68" a="1"/>
  <c r="B72" i="68" a="1"/>
  <c r="B76" i="68" a="1"/>
  <c r="B80" i="68" a="1"/>
  <c r="B84" i="68" a="1"/>
  <c r="B88" i="68" a="1"/>
  <c r="B90" i="68" a="1"/>
  <c r="B92" i="68" a="1"/>
  <c r="B94" i="68" a="1"/>
  <c r="B96" i="68" a="1"/>
  <c r="B98" i="68" a="1"/>
  <c r="B100" i="68" a="1"/>
  <c r="B102" i="68" a="1"/>
  <c r="B104" i="68" a="1"/>
  <c r="B106" i="68" a="1"/>
  <c r="B108" i="68" a="1"/>
  <c r="B110" i="68" a="1"/>
  <c r="B112" i="68" a="1"/>
  <c r="B114" i="68" a="1"/>
  <c r="B116" i="68" a="1"/>
  <c r="B118" i="68" a="1"/>
  <c r="B120" i="68" a="1"/>
  <c r="B122" i="68" a="1"/>
  <c r="B124" i="68" a="1"/>
  <c r="B126" i="68" a="1"/>
  <c r="B128" i="68" a="1"/>
  <c r="B130" i="68" a="1"/>
  <c r="B132" i="68" a="1"/>
  <c r="B134" i="68" a="1"/>
  <c r="B138" i="68" a="1"/>
  <c r="B142" i="68" a="1"/>
  <c r="B146" i="68" a="1"/>
  <c r="B150" i="68" a="1"/>
  <c r="B154" i="68" a="1"/>
  <c r="B137" i="68" a="1"/>
  <c r="B141" i="68" a="1"/>
  <c r="B145" i="68" a="1"/>
  <c r="B149" i="68" a="1"/>
  <c r="B153" i="68" a="1"/>
  <c r="B70" i="68" a="1"/>
  <c r="B74" i="68" a="1"/>
  <c r="B78" i="68" a="1"/>
  <c r="B82" i="68" a="1"/>
  <c r="B86" i="68" a="1"/>
  <c r="B89" i="68" a="1"/>
  <c r="B91" i="68" a="1"/>
  <c r="B93" i="68" a="1"/>
  <c r="B95" i="68" a="1"/>
  <c r="B97" i="68" a="1"/>
  <c r="B99" i="68" a="1"/>
  <c r="B101" i="68" a="1"/>
  <c r="B103" i="68" a="1"/>
  <c r="B105" i="68" a="1"/>
  <c r="B107" i="68" a="1"/>
  <c r="B109" i="68" a="1"/>
  <c r="B111" i="68" a="1"/>
  <c r="B113" i="68" a="1"/>
  <c r="B115" i="68" a="1"/>
  <c r="B117" i="68" a="1"/>
  <c r="B119" i="68" a="1"/>
  <c r="B121" i="68" a="1"/>
  <c r="B123" i="68" a="1"/>
  <c r="B125" i="68" a="1"/>
  <c r="B127" i="68" a="1"/>
  <c r="B129" i="68" a="1"/>
  <c r="B131" i="68" a="1"/>
  <c r="B133" i="68" a="1"/>
  <c r="B136" i="68" a="1"/>
  <c r="B140" i="68" a="1"/>
  <c r="B144" i="68" a="1"/>
  <c r="B148" i="68" a="1"/>
  <c r="B152" i="68" a="1"/>
  <c r="C2" i="68" a="1"/>
  <c r="B2" i="68" a="1"/>
  <c r="B3" i="60" a="1"/>
  <c r="B4" i="60" a="1"/>
  <c r="B5" i="60" a="1"/>
  <c r="B6" i="60" a="1"/>
  <c r="B7" i="60" a="1"/>
  <c r="B8" i="60" a="1"/>
  <c r="B9" i="60" a="1"/>
  <c r="B10" i="60" a="1"/>
  <c r="B14" i="60" a="1"/>
  <c r="B18" i="60" a="1"/>
  <c r="B22" i="60" a="1"/>
  <c r="B26" i="60" a="1"/>
  <c r="B30" i="60" a="1"/>
  <c r="B34" i="60" a="1"/>
  <c r="B38" i="60" a="1"/>
  <c r="B42" i="60" a="1"/>
  <c r="B46" i="60" a="1"/>
  <c r="B50" i="60" a="1"/>
  <c r="B59" i="60" a="1"/>
  <c r="B63" i="60" a="1"/>
  <c r="B67" i="60" a="1"/>
  <c r="B71" i="60" a="1"/>
  <c r="B75" i="60" a="1"/>
  <c r="B79" i="60" a="1"/>
  <c r="B83" i="60" a="1"/>
  <c r="B87" i="60" a="1"/>
  <c r="B12" i="60" a="1"/>
  <c r="B16" i="60" a="1"/>
  <c r="B20" i="60" a="1"/>
  <c r="B24" i="60" a="1"/>
  <c r="B28" i="60" a="1"/>
  <c r="B32" i="60" a="1"/>
  <c r="B36" i="60" a="1"/>
  <c r="B40" i="60" a="1"/>
  <c r="B44" i="60" a="1"/>
  <c r="B48" i="60" a="1"/>
  <c r="B57" i="60" a="1"/>
  <c r="B61" i="60" a="1"/>
  <c r="B65" i="60" a="1"/>
  <c r="B69" i="60" a="1"/>
  <c r="B73" i="60" a="1"/>
  <c r="B77" i="60" a="1"/>
  <c r="B81" i="60" a="1"/>
  <c r="B85" i="60" a="1"/>
  <c r="B13" i="60" a="1"/>
  <c r="B17" i="60" a="1"/>
  <c r="B21" i="60" a="1"/>
  <c r="B25" i="60" a="1"/>
  <c r="B29" i="60" a="1"/>
  <c r="B33" i="60" a="1"/>
  <c r="B37" i="60" a="1"/>
  <c r="B41" i="60" a="1"/>
  <c r="B45" i="60" a="1"/>
  <c r="B49" i="60" a="1"/>
  <c r="B52" i="60" a="1"/>
  <c r="B54" i="60" a="1"/>
  <c r="B56" i="60" a="1"/>
  <c r="B60" i="60" a="1"/>
  <c r="B64" i="60" a="1"/>
  <c r="B68" i="60" a="1"/>
  <c r="B72" i="60" a="1"/>
  <c r="B76" i="60" a="1"/>
  <c r="B80" i="60" a="1"/>
  <c r="B84" i="60" a="1"/>
  <c r="B88" i="60" a="1"/>
  <c r="B89" i="60" a="1"/>
  <c r="B90" i="60" a="1"/>
  <c r="B91" i="60" a="1"/>
  <c r="B92" i="60" a="1"/>
  <c r="B93" i="60" a="1"/>
  <c r="B94" i="60" a="1"/>
  <c r="B95" i="60" a="1"/>
  <c r="B96" i="60" a="1"/>
  <c r="B97" i="60" a="1"/>
  <c r="B98" i="60" a="1"/>
  <c r="B11" i="60" a="1"/>
  <c r="B27" i="60" a="1"/>
  <c r="B43" i="60" a="1"/>
  <c r="B55" i="60" a="1"/>
  <c r="B66" i="60" a="1"/>
  <c r="B82" i="60" a="1"/>
  <c r="B99" i="60" a="1"/>
  <c r="B101" i="60" a="1"/>
  <c r="B103" i="60" a="1"/>
  <c r="B105" i="60" a="1"/>
  <c r="B107" i="60" a="1"/>
  <c r="B109" i="60" a="1"/>
  <c r="B111" i="60" a="1"/>
  <c r="B113" i="60" a="1"/>
  <c r="B115" i="60" a="1"/>
  <c r="B117" i="60" a="1"/>
  <c r="B119" i="60" a="1"/>
  <c r="B121" i="60" a="1"/>
  <c r="B123" i="60" a="1"/>
  <c r="B125" i="60" a="1"/>
  <c r="B127" i="60" a="1"/>
  <c r="B129" i="60" a="1"/>
  <c r="B131" i="60" a="1"/>
  <c r="B133" i="60" a="1"/>
  <c r="B135" i="60" a="1"/>
  <c r="B137" i="60" a="1"/>
  <c r="B139" i="60" a="1"/>
  <c r="B141" i="60" a="1"/>
  <c r="B19" i="60" a="1"/>
  <c r="B35" i="60" a="1"/>
  <c r="B51" i="60" a="1"/>
  <c r="B58" i="60" a="1"/>
  <c r="B74" i="60" a="1"/>
  <c r="B100" i="60" a="1"/>
  <c r="B102" i="60" a="1"/>
  <c r="B104" i="60" a="1"/>
  <c r="B106" i="60" a="1"/>
  <c r="B108" i="60" a="1"/>
  <c r="B110" i="60" a="1"/>
  <c r="B112" i="60" a="1"/>
  <c r="B114" i="60" a="1"/>
  <c r="B116" i="60" a="1"/>
  <c r="B118" i="60" a="1"/>
  <c r="B120" i="60" a="1"/>
  <c r="B122" i="60" a="1"/>
  <c r="B124" i="60" a="1"/>
  <c r="B126" i="60" a="1"/>
  <c r="B128" i="60" a="1"/>
  <c r="B130" i="60" a="1"/>
  <c r="B132" i="60" a="1"/>
  <c r="B134" i="60" a="1"/>
  <c r="B136" i="60" a="1"/>
  <c r="B138" i="60" a="1"/>
  <c r="B140" i="60" a="1"/>
  <c r="B142" i="60" a="1"/>
  <c r="B143" i="60" a="1"/>
  <c r="B144" i="60" a="1"/>
  <c r="B145" i="60" a="1"/>
  <c r="B146" i="60" a="1"/>
  <c r="B147" i="60" a="1"/>
  <c r="B148" i="60" a="1"/>
  <c r="B149" i="60" a="1"/>
  <c r="B150" i="60" a="1"/>
  <c r="B151" i="60" a="1"/>
  <c r="B152" i="60" a="1"/>
  <c r="B153" i="60" a="1"/>
  <c r="B154" i="60" a="1"/>
  <c r="B155" i="60" a="1"/>
  <c r="B156" i="60" a="1"/>
  <c r="B157" i="60" a="1"/>
  <c r="B158" i="60" a="1"/>
  <c r="B159" i="60" a="1"/>
  <c r="B160" i="60" a="1"/>
  <c r="B161" i="60" a="1"/>
  <c r="B162" i="60" a="1"/>
  <c r="B163" i="60" a="1"/>
  <c r="B164" i="60" a="1"/>
  <c r="B165" i="60" a="1"/>
  <c r="B166" i="60" a="1"/>
  <c r="B167" i="60" a="1"/>
  <c r="B23" i="60" a="1"/>
  <c r="B39" i="60" a="1"/>
  <c r="B53" i="60" a="1"/>
  <c r="B70" i="60" a="1"/>
  <c r="B86" i="60" a="1"/>
  <c r="B15" i="60" a="1"/>
  <c r="B62" i="60" a="1"/>
  <c r="B168" i="60" a="1"/>
  <c r="B170" i="60" a="1"/>
  <c r="B172" i="60" a="1"/>
  <c r="B176" i="60" a="1"/>
  <c r="B180" i="60" a="1"/>
  <c r="B184" i="60" a="1"/>
  <c r="B188" i="60" a="1"/>
  <c r="B192" i="60" a="1"/>
  <c r="B196" i="60" a="1"/>
  <c r="B197" i="60" a="1"/>
  <c r="B198" i="60" a="1"/>
  <c r="B199" i="60" a="1"/>
  <c r="B200" i="60" a="1"/>
  <c r="B201" i="60" a="1"/>
  <c r="B202" i="60" a="1"/>
  <c r="B203" i="60" a="1"/>
  <c r="B204" i="60" a="1"/>
  <c r="B205" i="60" a="1"/>
  <c r="B206" i="60" a="1"/>
  <c r="B207" i="60" a="1"/>
  <c r="B208" i="60" a="1"/>
  <c r="B209" i="60" a="1"/>
  <c r="B210" i="60" a="1"/>
  <c r="B211" i="60" a="1"/>
  <c r="B212" i="60" a="1"/>
  <c r="B213" i="60" a="1"/>
  <c r="B214" i="60" a="1"/>
  <c r="B215" i="60" a="1"/>
  <c r="B216" i="60" a="1"/>
  <c r="B217" i="60" a="1"/>
  <c r="B218" i="60" a="1"/>
  <c r="B219" i="60" a="1"/>
  <c r="B220" i="60" a="1"/>
  <c r="B221" i="60" a="1"/>
  <c r="B222" i="60" a="1"/>
  <c r="B223" i="60" a="1"/>
  <c r="B224" i="60" a="1"/>
  <c r="B225" i="60" a="1"/>
  <c r="B226" i="60" a="1"/>
  <c r="B227" i="60" a="1"/>
  <c r="B228" i="60" a="1"/>
  <c r="B229" i="60" a="1"/>
  <c r="B230" i="60" a="1"/>
  <c r="B231" i="60" a="1"/>
  <c r="B232" i="60" a="1"/>
  <c r="B233" i="60" a="1"/>
  <c r="B31" i="60" a="1"/>
  <c r="B175" i="60" a="1"/>
  <c r="B179" i="60" a="1"/>
  <c r="B183" i="60" a="1"/>
  <c r="B187" i="60" a="1"/>
  <c r="B191" i="60" a="1"/>
  <c r="B195" i="60" a="1"/>
  <c r="B78" i="60" a="1"/>
  <c r="B173" i="60" a="1"/>
  <c r="B181" i="60" a="1"/>
  <c r="B185" i="60" a="1"/>
  <c r="B193" i="60" a="1"/>
  <c r="B47" i="60" a="1"/>
  <c r="B169" i="60" a="1"/>
  <c r="B171" i="60" a="1"/>
  <c r="B174" i="60" a="1"/>
  <c r="B178" i="60" a="1"/>
  <c r="B182" i="60" a="1"/>
  <c r="B186" i="60" a="1"/>
  <c r="B190" i="60" a="1"/>
  <c r="B194" i="60" a="1"/>
  <c r="B177" i="60" a="1"/>
  <c r="B189" i="60" a="1"/>
  <c r="C2" i="60" a="1"/>
  <c r="B2" i="60" a="1"/>
  <c r="B3" i="72" a="1"/>
  <c r="B5" i="72" a="1"/>
  <c r="B7" i="72" a="1"/>
  <c r="B9" i="72" a="1"/>
  <c r="B11" i="72" a="1"/>
  <c r="B13" i="72" a="1"/>
  <c r="B15" i="72" a="1"/>
  <c r="B17" i="72" a="1"/>
  <c r="B4" i="72" a="1"/>
  <c r="B8" i="72" a="1"/>
  <c r="B10" i="72" a="1"/>
  <c r="B12" i="72" a="1"/>
  <c r="B14" i="72" a="1"/>
  <c r="B16" i="72" a="1"/>
  <c r="B6" i="72" a="1"/>
  <c r="B2" i="72" a="1"/>
  <c r="E2" i="71" a="1"/>
  <c r="E2" i="70" a="1"/>
  <c r="I100" i="71" l="1"/>
  <c r="I98" i="71"/>
  <c r="I96" i="71"/>
  <c r="I94" i="71"/>
  <c r="I92" i="71"/>
  <c r="I90" i="71"/>
  <c r="I88" i="71"/>
  <c r="I86" i="71"/>
  <c r="L100" i="71"/>
  <c r="L96" i="71"/>
  <c r="L92" i="71"/>
  <c r="L88" i="71"/>
  <c r="L86" i="71"/>
  <c r="L84" i="71"/>
  <c r="L82" i="71"/>
  <c r="L80" i="71"/>
  <c r="L78" i="71"/>
  <c r="L76" i="71"/>
  <c r="L74" i="71"/>
  <c r="L68" i="71"/>
  <c r="L66" i="71"/>
  <c r="L64" i="71"/>
  <c r="L62" i="71"/>
  <c r="L60" i="71"/>
  <c r="L58" i="71"/>
  <c r="L56" i="71"/>
  <c r="L54" i="71"/>
  <c r="L52" i="71"/>
  <c r="L50" i="71"/>
  <c r="L48" i="71"/>
  <c r="L46" i="71"/>
  <c r="L44" i="71"/>
  <c r="L42" i="71"/>
  <c r="M100" i="71"/>
  <c r="M98" i="71"/>
  <c r="M96" i="71"/>
  <c r="M94" i="71"/>
  <c r="M92" i="71"/>
  <c r="M90" i="71"/>
  <c r="M88" i="71"/>
  <c r="M86" i="71"/>
  <c r="M84" i="71"/>
  <c r="M82" i="71"/>
  <c r="M80" i="71"/>
  <c r="M78" i="71"/>
  <c r="M76" i="71"/>
  <c r="M74" i="71"/>
  <c r="M72" i="71"/>
  <c r="M70" i="71"/>
  <c r="M68" i="71"/>
  <c r="M66" i="71"/>
  <c r="M64" i="71"/>
  <c r="M62" i="71"/>
  <c r="M60" i="71"/>
  <c r="M58" i="71"/>
  <c r="M56" i="71"/>
  <c r="M54" i="71"/>
  <c r="M52" i="71"/>
  <c r="M50" i="71"/>
  <c r="M48" i="71"/>
  <c r="M46" i="71"/>
  <c r="M44" i="71"/>
  <c r="M42" i="71"/>
  <c r="M40" i="71"/>
  <c r="M38" i="71"/>
  <c r="M36" i="71"/>
  <c r="M34" i="71"/>
  <c r="M32" i="71"/>
  <c r="M30" i="71"/>
  <c r="M28" i="71"/>
  <c r="M26" i="71"/>
  <c r="M24" i="71"/>
  <c r="M22" i="71"/>
  <c r="M20" i="71"/>
  <c r="M18" i="71"/>
  <c r="M16" i="71"/>
  <c r="M14" i="71"/>
  <c r="M12" i="71"/>
  <c r="M10" i="71"/>
  <c r="M8" i="71"/>
  <c r="M6" i="71"/>
  <c r="M4" i="71"/>
  <c r="M101" i="71"/>
  <c r="M99" i="71"/>
  <c r="M97" i="71"/>
  <c r="M95" i="71"/>
  <c r="M93" i="71"/>
  <c r="M91" i="71"/>
  <c r="M89" i="71"/>
  <c r="M87" i="71"/>
  <c r="M85" i="71"/>
  <c r="M83" i="71"/>
  <c r="M81" i="71"/>
  <c r="M79" i="71"/>
  <c r="M77" i="71"/>
  <c r="M75" i="71"/>
  <c r="M73" i="71"/>
  <c r="M71" i="71"/>
  <c r="M69" i="71"/>
  <c r="M67" i="71"/>
  <c r="M65" i="71"/>
  <c r="M63" i="71"/>
  <c r="M61" i="71"/>
  <c r="M59" i="71"/>
  <c r="M57" i="71"/>
  <c r="M55" i="71"/>
  <c r="M53" i="71"/>
  <c r="M51" i="71"/>
  <c r="M49" i="71"/>
  <c r="M47" i="71"/>
  <c r="M45" i="71"/>
  <c r="M43" i="71"/>
  <c r="M41" i="71"/>
  <c r="M39" i="71"/>
  <c r="M37" i="71"/>
  <c r="M35" i="71"/>
  <c r="M33" i="71"/>
  <c r="M31" i="71"/>
  <c r="M29" i="71"/>
  <c r="M27" i="71"/>
  <c r="M25" i="71"/>
  <c r="M23" i="71"/>
  <c r="M21" i="71"/>
  <c r="M19" i="71"/>
  <c r="M17" i="71"/>
  <c r="M15" i="71"/>
  <c r="M13" i="71"/>
  <c r="M11" i="71"/>
  <c r="M9" i="71"/>
  <c r="M7" i="71"/>
  <c r="M5" i="71"/>
  <c r="M3" i="71"/>
  <c r="L40" i="71"/>
  <c r="L38" i="71"/>
  <c r="L36" i="71"/>
  <c r="L34" i="71"/>
  <c r="L32" i="71"/>
  <c r="L30" i="71"/>
  <c r="L28" i="71"/>
  <c r="L26" i="71"/>
  <c r="L24" i="71"/>
  <c r="L22" i="71"/>
  <c r="L20" i="71"/>
  <c r="L18" i="71"/>
  <c r="L16" i="71"/>
  <c r="L14" i="71"/>
  <c r="L12" i="71"/>
  <c r="L10" i="71"/>
  <c r="L8" i="71"/>
  <c r="L6" i="71"/>
  <c r="L4" i="71"/>
  <c r="L70" i="71"/>
  <c r="L98" i="71"/>
  <c r="L94" i="71"/>
  <c r="L90" i="71"/>
  <c r="L72" i="71"/>
  <c r="L101" i="71"/>
  <c r="L99" i="71"/>
  <c r="L97" i="71"/>
  <c r="L95" i="71"/>
  <c r="M2" i="71"/>
  <c r="L93" i="71"/>
  <c r="L91" i="71"/>
  <c r="L89" i="71"/>
  <c r="L87" i="71"/>
  <c r="L85" i="71"/>
  <c r="L83" i="71"/>
  <c r="L81" i="71"/>
  <c r="L79" i="71"/>
  <c r="L77" i="71"/>
  <c r="L75" i="71"/>
  <c r="L73" i="71"/>
  <c r="L71" i="71"/>
  <c r="L69" i="71"/>
  <c r="L67" i="71"/>
  <c r="L65" i="71"/>
  <c r="L63" i="71"/>
  <c r="L61" i="71"/>
  <c r="L59" i="71"/>
  <c r="L57" i="71"/>
  <c r="L55" i="71"/>
  <c r="L53" i="71"/>
  <c r="L51" i="71"/>
  <c r="L49" i="71"/>
  <c r="L47" i="71"/>
  <c r="L45" i="71"/>
  <c r="L43" i="71"/>
  <c r="L41" i="71"/>
  <c r="L39" i="71"/>
  <c r="L37" i="71"/>
  <c r="L35" i="71"/>
  <c r="L33" i="71"/>
  <c r="L31" i="71"/>
  <c r="L29" i="71"/>
  <c r="L27" i="71"/>
  <c r="L25" i="71"/>
  <c r="L23" i="71"/>
  <c r="L21" i="71"/>
  <c r="L19" i="71"/>
  <c r="L17" i="71"/>
  <c r="L15" i="71"/>
  <c r="L13" i="71"/>
  <c r="L11" i="71"/>
  <c r="L9" i="71"/>
  <c r="L7" i="71"/>
  <c r="L5" i="71"/>
  <c r="L3" i="71"/>
  <c r="I84" i="71"/>
  <c r="I82" i="71"/>
  <c r="I80" i="71"/>
  <c r="I78" i="71"/>
  <c r="I76" i="71"/>
  <c r="I74" i="71"/>
  <c r="I72" i="71"/>
  <c r="I70" i="71"/>
  <c r="I68" i="71"/>
  <c r="I66" i="71"/>
  <c r="I64" i="71"/>
  <c r="I62" i="71"/>
  <c r="I60" i="71"/>
  <c r="I58" i="71"/>
  <c r="I56" i="71"/>
  <c r="I54" i="71"/>
  <c r="I52" i="71"/>
  <c r="I50" i="71"/>
  <c r="I48" i="71"/>
  <c r="I46" i="71"/>
  <c r="I44" i="71"/>
  <c r="I42" i="71"/>
  <c r="I40" i="71"/>
  <c r="I38" i="71"/>
  <c r="I36" i="71"/>
  <c r="I34" i="71"/>
  <c r="I32" i="71"/>
  <c r="I30" i="71"/>
  <c r="I28" i="71"/>
  <c r="I26" i="71"/>
  <c r="L2" i="71"/>
  <c r="I24" i="71"/>
  <c r="I22" i="71"/>
  <c r="I20" i="71"/>
  <c r="I18" i="71"/>
  <c r="I16" i="71"/>
  <c r="I14" i="71"/>
  <c r="I12" i="71"/>
  <c r="I10" i="71"/>
  <c r="I8" i="71"/>
  <c r="I6" i="71"/>
  <c r="I4" i="71"/>
  <c r="I101" i="71"/>
  <c r="I99" i="71"/>
  <c r="I97" i="71"/>
  <c r="I95" i="71"/>
  <c r="I93" i="71"/>
  <c r="I91" i="71"/>
  <c r="I89" i="71"/>
  <c r="I87" i="71"/>
  <c r="I85" i="71"/>
  <c r="I83" i="71"/>
  <c r="I81" i="71"/>
  <c r="I79" i="71"/>
  <c r="I77" i="71"/>
  <c r="I75" i="71"/>
  <c r="I73" i="71"/>
  <c r="I71" i="71"/>
  <c r="I69" i="71"/>
  <c r="I67" i="71"/>
  <c r="I65" i="71"/>
  <c r="I63" i="71"/>
  <c r="I61" i="71"/>
  <c r="I59" i="71"/>
  <c r="I57" i="71"/>
  <c r="I55" i="71"/>
  <c r="I53" i="71"/>
  <c r="I51" i="71"/>
  <c r="I49" i="71"/>
  <c r="I47" i="71"/>
  <c r="I45" i="71"/>
  <c r="I43" i="71"/>
  <c r="I41" i="71"/>
  <c r="I39" i="71"/>
  <c r="I37" i="71"/>
  <c r="I35" i="71"/>
  <c r="I33" i="71"/>
  <c r="I31" i="71"/>
  <c r="I29" i="71"/>
  <c r="I27" i="71"/>
  <c r="I25" i="71"/>
  <c r="I23" i="71"/>
  <c r="I21" i="71"/>
  <c r="I19" i="71"/>
  <c r="I17" i="71"/>
  <c r="I15" i="71"/>
  <c r="I13" i="71"/>
  <c r="I11" i="71"/>
  <c r="I9" i="71"/>
  <c r="I7" i="71"/>
  <c r="I5" i="71"/>
  <c r="I3" i="71"/>
  <c r="I2" i="71"/>
  <c r="D100" i="71"/>
  <c r="D98" i="71"/>
  <c r="D96" i="71"/>
  <c r="D94" i="71"/>
  <c r="D92" i="71"/>
  <c r="D90" i="71"/>
  <c r="D88" i="71"/>
  <c r="D86" i="71"/>
  <c r="D84" i="71"/>
  <c r="D82" i="71"/>
  <c r="D80" i="71"/>
  <c r="D78" i="71"/>
  <c r="D76" i="71"/>
  <c r="D74" i="71"/>
  <c r="D72" i="71"/>
  <c r="D70" i="71"/>
  <c r="D68" i="71"/>
  <c r="D66" i="71"/>
  <c r="D64" i="71"/>
  <c r="D62" i="71"/>
  <c r="D60" i="71"/>
  <c r="D58" i="71"/>
  <c r="H100" i="71"/>
  <c r="H98" i="71"/>
  <c r="H96" i="71"/>
  <c r="H94" i="71"/>
  <c r="H92" i="71"/>
  <c r="H90" i="71"/>
  <c r="H88" i="71"/>
  <c r="H86" i="71"/>
  <c r="H84" i="71"/>
  <c r="H82" i="71"/>
  <c r="H80" i="71"/>
  <c r="H78" i="71"/>
  <c r="H76" i="71"/>
  <c r="H74" i="71"/>
  <c r="H72" i="71"/>
  <c r="H70" i="71"/>
  <c r="H68" i="71"/>
  <c r="H66" i="71"/>
  <c r="H64" i="71"/>
  <c r="H62" i="71"/>
  <c r="H60" i="71"/>
  <c r="H58" i="71"/>
  <c r="H56" i="71"/>
  <c r="H54" i="71"/>
  <c r="H52" i="71"/>
  <c r="H50" i="71"/>
  <c r="H48" i="71"/>
  <c r="H46" i="71"/>
  <c r="H44" i="71"/>
  <c r="H42" i="71"/>
  <c r="H40" i="71"/>
  <c r="H38" i="71"/>
  <c r="H36" i="71"/>
  <c r="H34" i="71"/>
  <c r="H32" i="71"/>
  <c r="H30" i="71"/>
  <c r="H28" i="71"/>
  <c r="H26" i="71"/>
  <c r="H24" i="71"/>
  <c r="H22" i="71"/>
  <c r="H20" i="71"/>
  <c r="H18" i="71"/>
  <c r="H16" i="71"/>
  <c r="H14" i="71"/>
  <c r="H12" i="71"/>
  <c r="H10" i="71"/>
  <c r="H8" i="71"/>
  <c r="H6" i="71"/>
  <c r="H4" i="71"/>
  <c r="H101" i="71"/>
  <c r="H99" i="71"/>
  <c r="H97" i="71"/>
  <c r="H95" i="71"/>
  <c r="H93" i="71"/>
  <c r="H91" i="71"/>
  <c r="H89" i="71"/>
  <c r="H87" i="71"/>
  <c r="H85" i="71"/>
  <c r="H83" i="71"/>
  <c r="H81" i="71"/>
  <c r="H79" i="71"/>
  <c r="H77" i="71"/>
  <c r="H75" i="71"/>
  <c r="H73" i="71"/>
  <c r="H71" i="71"/>
  <c r="H69" i="71"/>
  <c r="H67" i="71"/>
  <c r="H65" i="71"/>
  <c r="H63" i="71"/>
  <c r="H61" i="71"/>
  <c r="H59" i="71"/>
  <c r="H57" i="71"/>
  <c r="H55" i="71"/>
  <c r="H53" i="71"/>
  <c r="H51" i="71"/>
  <c r="H49" i="71"/>
  <c r="H47" i="71"/>
  <c r="H45" i="71"/>
  <c r="H43" i="71"/>
  <c r="H41" i="71"/>
  <c r="H39" i="71"/>
  <c r="H37" i="71"/>
  <c r="H35" i="71"/>
  <c r="H33" i="71"/>
  <c r="H31" i="71"/>
  <c r="H29" i="71"/>
  <c r="H27" i="71"/>
  <c r="H25" i="71"/>
  <c r="H23" i="71"/>
  <c r="H21" i="71"/>
  <c r="H19" i="71"/>
  <c r="H17" i="71"/>
  <c r="H15" i="71"/>
  <c r="H13" i="71"/>
  <c r="H11" i="71"/>
  <c r="H9" i="71"/>
  <c r="H7" i="71"/>
  <c r="H5" i="71"/>
  <c r="H3" i="71"/>
  <c r="D56" i="71"/>
  <c r="D54" i="71"/>
  <c r="D52" i="71"/>
  <c r="D50" i="71"/>
  <c r="D48" i="71"/>
  <c r="D46" i="71"/>
  <c r="D44" i="71"/>
  <c r="D42" i="71"/>
  <c r="D40" i="71"/>
  <c r="D38" i="71"/>
  <c r="D36" i="71"/>
  <c r="D34" i="71"/>
  <c r="D32" i="71"/>
  <c r="D30" i="71"/>
  <c r="D28" i="71"/>
  <c r="D26" i="71"/>
  <c r="D24" i="71"/>
  <c r="D22" i="71"/>
  <c r="D20" i="71"/>
  <c r="D18" i="71"/>
  <c r="D16" i="71"/>
  <c r="D14" i="71"/>
  <c r="D12" i="71"/>
  <c r="D10" i="71"/>
  <c r="D8" i="71"/>
  <c r="D6" i="71"/>
  <c r="D4" i="71"/>
  <c r="D101" i="71"/>
  <c r="D99" i="71"/>
  <c r="D97" i="71"/>
  <c r="D95" i="71"/>
  <c r="D93" i="71"/>
  <c r="D91" i="71"/>
  <c r="D89" i="71"/>
  <c r="D87" i="71"/>
  <c r="D85" i="71"/>
  <c r="D83" i="71"/>
  <c r="D81" i="71"/>
  <c r="D79" i="71"/>
  <c r="D77" i="71"/>
  <c r="D75" i="71"/>
  <c r="D73" i="71"/>
  <c r="D71" i="71"/>
  <c r="D69" i="71"/>
  <c r="D67" i="71"/>
  <c r="D65" i="71"/>
  <c r="D63" i="71"/>
  <c r="D61" i="71"/>
  <c r="D59" i="71"/>
  <c r="D57" i="71"/>
  <c r="D55" i="71"/>
  <c r="D53" i="71"/>
  <c r="D51" i="71"/>
  <c r="D49" i="71"/>
  <c r="D47" i="71"/>
  <c r="D45" i="71"/>
  <c r="D43" i="71"/>
  <c r="D41" i="71"/>
  <c r="D39" i="71"/>
  <c r="D37" i="71"/>
  <c r="D35" i="71"/>
  <c r="D33" i="71"/>
  <c r="D31" i="71"/>
  <c r="D29" i="71"/>
  <c r="D27" i="71"/>
  <c r="D25" i="71"/>
  <c r="D23" i="71"/>
  <c r="D21" i="71"/>
  <c r="D19" i="71"/>
  <c r="D17" i="71"/>
  <c r="D15" i="71"/>
  <c r="D13" i="71"/>
  <c r="D11" i="71"/>
  <c r="D9" i="71"/>
  <c r="D7" i="71"/>
  <c r="D5" i="71"/>
  <c r="D3" i="71"/>
  <c r="M98" i="70"/>
  <c r="M94" i="70"/>
  <c r="M90" i="70"/>
  <c r="M86" i="70"/>
  <c r="M82" i="70"/>
  <c r="M78" i="70"/>
  <c r="M74" i="70"/>
  <c r="M70" i="70"/>
  <c r="M66" i="70"/>
  <c r="M62" i="70"/>
  <c r="M58" i="70"/>
  <c r="M54" i="70"/>
  <c r="M50" i="70"/>
  <c r="M44" i="70"/>
  <c r="M40" i="70"/>
  <c r="M36" i="70"/>
  <c r="M32" i="70"/>
  <c r="M26" i="70"/>
  <c r="M4" i="70"/>
  <c r="M100" i="70"/>
  <c r="M96" i="70"/>
  <c r="M92" i="70"/>
  <c r="M88" i="70"/>
  <c r="M84" i="70"/>
  <c r="M80" i="70"/>
  <c r="M76" i="70"/>
  <c r="M72" i="70"/>
  <c r="M68" i="70"/>
  <c r="M64" i="70"/>
  <c r="M60" i="70"/>
  <c r="M56" i="70"/>
  <c r="M52" i="70"/>
  <c r="M48" i="70"/>
  <c r="M46" i="70"/>
  <c r="M42" i="70"/>
  <c r="M38" i="70"/>
  <c r="M34" i="70"/>
  <c r="M30" i="70"/>
  <c r="M28" i="70"/>
  <c r="M24" i="70"/>
  <c r="M22" i="70"/>
  <c r="M20" i="70"/>
  <c r="M18" i="70"/>
  <c r="M16" i="70"/>
  <c r="M14" i="70"/>
  <c r="M12" i="70"/>
  <c r="M10" i="70"/>
  <c r="M8" i="70"/>
  <c r="M6" i="70"/>
  <c r="M101" i="70"/>
  <c r="M99" i="70"/>
  <c r="M97" i="70"/>
  <c r="M95" i="70"/>
  <c r="M93" i="70"/>
  <c r="M91" i="70"/>
  <c r="M89" i="70"/>
  <c r="M87" i="70"/>
  <c r="M85" i="70"/>
  <c r="M83" i="70"/>
  <c r="M81" i="70"/>
  <c r="M79" i="70"/>
  <c r="M77" i="70"/>
  <c r="M75" i="70"/>
  <c r="M73" i="70"/>
  <c r="M71" i="70"/>
  <c r="M69" i="70"/>
  <c r="M67" i="70"/>
  <c r="M65" i="70"/>
  <c r="M63" i="70"/>
  <c r="M61" i="70"/>
  <c r="M59" i="70"/>
  <c r="M57" i="70"/>
  <c r="M55" i="70"/>
  <c r="M53" i="70"/>
  <c r="M51" i="70"/>
  <c r="M49" i="70"/>
  <c r="M47" i="70"/>
  <c r="M45" i="70"/>
  <c r="M43" i="70"/>
  <c r="M41" i="70"/>
  <c r="M39" i="70"/>
  <c r="M37" i="70"/>
  <c r="M35" i="70"/>
  <c r="M33" i="70"/>
  <c r="M31" i="70"/>
  <c r="M29" i="70"/>
  <c r="M27" i="70"/>
  <c r="M25" i="70"/>
  <c r="M23" i="70"/>
  <c r="M21" i="70"/>
  <c r="M19" i="70"/>
  <c r="M17" i="70"/>
  <c r="M15" i="70"/>
  <c r="M13" i="70"/>
  <c r="M11" i="70"/>
  <c r="M9" i="70"/>
  <c r="M7" i="70"/>
  <c r="M5" i="70"/>
  <c r="M3" i="70"/>
  <c r="M2" i="70"/>
  <c r="I100" i="70"/>
  <c r="I98" i="70"/>
  <c r="I96" i="70"/>
  <c r="I94" i="70"/>
  <c r="I92" i="70"/>
  <c r="I90" i="70"/>
  <c r="I88" i="70"/>
  <c r="I86" i="70"/>
  <c r="I84" i="70"/>
  <c r="I82" i="70"/>
  <c r="I80" i="70"/>
  <c r="I78" i="70"/>
  <c r="I76" i="70"/>
  <c r="I74" i="70"/>
  <c r="I72" i="70"/>
  <c r="I70" i="70"/>
  <c r="I68" i="70"/>
  <c r="I66" i="70"/>
  <c r="I64" i="70"/>
  <c r="I62" i="70"/>
  <c r="I60" i="70"/>
  <c r="I58" i="70"/>
  <c r="I56" i="70"/>
  <c r="I54" i="70"/>
  <c r="I52" i="70"/>
  <c r="I50" i="70"/>
  <c r="I48" i="70"/>
  <c r="I46" i="70"/>
  <c r="I44" i="70"/>
  <c r="I42" i="70"/>
  <c r="I40" i="70"/>
  <c r="I38" i="70"/>
  <c r="I36" i="70"/>
  <c r="I34" i="70"/>
  <c r="I32" i="70"/>
  <c r="I30" i="70"/>
  <c r="I28" i="70"/>
  <c r="I26" i="70"/>
  <c r="I24" i="70"/>
  <c r="I22" i="70"/>
  <c r="I20" i="70"/>
  <c r="I18" i="70"/>
  <c r="I16" i="70"/>
  <c r="I14" i="70"/>
  <c r="I12" i="70"/>
  <c r="I10" i="70"/>
  <c r="I8" i="70"/>
  <c r="I6" i="70"/>
  <c r="I4" i="70"/>
  <c r="I101" i="70"/>
  <c r="I99" i="70"/>
  <c r="I97" i="70"/>
  <c r="I95" i="70"/>
  <c r="I93" i="70"/>
  <c r="I91" i="70"/>
  <c r="I89" i="70"/>
  <c r="I87" i="70"/>
  <c r="I85" i="70"/>
  <c r="I83" i="70"/>
  <c r="I81" i="70"/>
  <c r="I79" i="70"/>
  <c r="I77" i="70"/>
  <c r="I75" i="70"/>
  <c r="I73" i="70"/>
  <c r="I71" i="70"/>
  <c r="I69" i="70"/>
  <c r="I67" i="70"/>
  <c r="I65" i="70"/>
  <c r="I63" i="70"/>
  <c r="I61" i="70"/>
  <c r="I59" i="70"/>
  <c r="I57" i="70"/>
  <c r="I55" i="70"/>
  <c r="I53" i="70"/>
  <c r="I51" i="70"/>
  <c r="I49" i="70"/>
  <c r="I47" i="70"/>
  <c r="I45" i="70"/>
  <c r="I43" i="70"/>
  <c r="I41" i="70"/>
  <c r="I39" i="70"/>
  <c r="I37" i="70"/>
  <c r="I35" i="70"/>
  <c r="I33" i="70"/>
  <c r="I31" i="70"/>
  <c r="I29" i="70"/>
  <c r="I27" i="70"/>
  <c r="I25" i="70"/>
  <c r="I23" i="70"/>
  <c r="I21" i="70"/>
  <c r="I19" i="70"/>
  <c r="I17" i="70"/>
  <c r="I15" i="70"/>
  <c r="I13" i="70"/>
  <c r="I11" i="70"/>
  <c r="I9" i="70"/>
  <c r="I7" i="70"/>
  <c r="I5" i="70"/>
  <c r="I3" i="70"/>
  <c r="I2" i="70"/>
  <c r="D2" i="71"/>
  <c r="L87" i="70"/>
  <c r="L83" i="70"/>
  <c r="L79" i="70"/>
  <c r="L75" i="70"/>
  <c r="L71" i="70"/>
  <c r="L67" i="70"/>
  <c r="L63" i="70"/>
  <c r="L59" i="70"/>
  <c r="L55" i="70"/>
  <c r="L51" i="70"/>
  <c r="L47" i="70"/>
  <c r="L43" i="70"/>
  <c r="L101" i="70"/>
  <c r="L100" i="70"/>
  <c r="L99" i="70"/>
  <c r="L98" i="70"/>
  <c r="L97" i="70"/>
  <c r="L96" i="70"/>
  <c r="L95" i="70"/>
  <c r="L94" i="70"/>
  <c r="L93" i="70"/>
  <c r="L92" i="70"/>
  <c r="L91" i="70"/>
  <c r="L90" i="70"/>
  <c r="L89" i="70"/>
  <c r="L88" i="70"/>
  <c r="L84" i="70"/>
  <c r="L80" i="70"/>
  <c r="L76" i="70"/>
  <c r="H2" i="71"/>
  <c r="L72" i="70"/>
  <c r="L68" i="70"/>
  <c r="L64" i="70"/>
  <c r="L60" i="70"/>
  <c r="L56" i="70"/>
  <c r="L52" i="70"/>
  <c r="L48" i="70"/>
  <c r="L44" i="70"/>
  <c r="L41" i="70"/>
  <c r="L39" i="70"/>
  <c r="L37" i="70"/>
  <c r="L35" i="70"/>
  <c r="L33" i="70"/>
  <c r="L85" i="70"/>
  <c r="L81" i="70"/>
  <c r="L77" i="70"/>
  <c r="L73" i="70"/>
  <c r="L69" i="70"/>
  <c r="L65" i="70"/>
  <c r="L61" i="70"/>
  <c r="L57" i="70"/>
  <c r="L53" i="70"/>
  <c r="L49" i="70"/>
  <c r="L45" i="70"/>
  <c r="L86" i="70"/>
  <c r="L82" i="70"/>
  <c r="L78" i="70"/>
  <c r="L74" i="70"/>
  <c r="L70" i="70"/>
  <c r="L66" i="70"/>
  <c r="L62" i="70"/>
  <c r="L58" i="70"/>
  <c r="L54" i="70"/>
  <c r="L50" i="70"/>
  <c r="L46" i="70"/>
  <c r="L42" i="70"/>
  <c r="L40" i="70"/>
  <c r="L38" i="70"/>
  <c r="L36" i="70"/>
  <c r="L34" i="70"/>
  <c r="L32" i="70"/>
  <c r="L31" i="70"/>
  <c r="L30" i="70"/>
  <c r="L29" i="70"/>
  <c r="L28" i="70"/>
  <c r="L27" i="70"/>
  <c r="L26" i="70"/>
  <c r="L25" i="70"/>
  <c r="L24" i="70"/>
  <c r="L23" i="70"/>
  <c r="L22" i="70"/>
  <c r="L21" i="70"/>
  <c r="L20" i="70"/>
  <c r="L19" i="70"/>
  <c r="L18" i="70"/>
  <c r="L17" i="70"/>
  <c r="L16" i="70"/>
  <c r="L15" i="70"/>
  <c r="L14" i="70"/>
  <c r="L13" i="70"/>
  <c r="L12" i="70"/>
  <c r="L11" i="70"/>
  <c r="L10" i="70"/>
  <c r="L9" i="70"/>
  <c r="L8" i="70"/>
  <c r="L7" i="70"/>
  <c r="L6" i="70"/>
  <c r="L5" i="70"/>
  <c r="L4" i="70"/>
  <c r="L3" i="70"/>
  <c r="L2" i="70"/>
  <c r="D100" i="70"/>
  <c r="D98" i="70"/>
  <c r="D96" i="70"/>
  <c r="D94" i="70"/>
  <c r="D92" i="70"/>
  <c r="D90" i="70"/>
  <c r="D88" i="70"/>
  <c r="D86" i="70"/>
  <c r="D84" i="70"/>
  <c r="D82" i="70"/>
  <c r="D80" i="70"/>
  <c r="D78" i="70"/>
  <c r="D76" i="70"/>
  <c r="D74" i="70"/>
  <c r="D72" i="70"/>
  <c r="D70" i="70"/>
  <c r="D68" i="70"/>
  <c r="D66" i="70"/>
  <c r="D64" i="70"/>
  <c r="D62" i="70"/>
  <c r="D60" i="70"/>
  <c r="D58" i="70"/>
  <c r="D56" i="70"/>
  <c r="D54" i="70"/>
  <c r="D52" i="70"/>
  <c r="D50" i="70"/>
  <c r="D48" i="70"/>
  <c r="D46" i="70"/>
  <c r="D44" i="70"/>
  <c r="D42" i="70"/>
  <c r="D40" i="70"/>
  <c r="D38" i="70"/>
  <c r="D36" i="70"/>
  <c r="D34" i="70"/>
  <c r="D32" i="70"/>
  <c r="D30" i="70"/>
  <c r="D28" i="70"/>
  <c r="D26" i="70"/>
  <c r="D24" i="70"/>
  <c r="D22" i="70"/>
  <c r="D20" i="70"/>
  <c r="D18" i="70"/>
  <c r="D16" i="70"/>
  <c r="D14" i="70"/>
  <c r="D12" i="70"/>
  <c r="D10" i="70"/>
  <c r="D8" i="70"/>
  <c r="D6" i="70"/>
  <c r="D4" i="70"/>
  <c r="D101" i="70"/>
  <c r="D99" i="70"/>
  <c r="D97" i="70"/>
  <c r="D95" i="70"/>
  <c r="D93" i="70"/>
  <c r="D91" i="70"/>
  <c r="D89" i="70"/>
  <c r="D87" i="70"/>
  <c r="D85" i="70"/>
  <c r="D83" i="70"/>
  <c r="D81" i="70"/>
  <c r="D79" i="70"/>
  <c r="D77" i="70"/>
  <c r="D75" i="70"/>
  <c r="D73" i="70"/>
  <c r="D71" i="70"/>
  <c r="D69" i="70"/>
  <c r="D67" i="70"/>
  <c r="D65" i="70"/>
  <c r="D63" i="70"/>
  <c r="D61" i="70"/>
  <c r="D59" i="70"/>
  <c r="D57" i="70"/>
  <c r="D55" i="70"/>
  <c r="D53" i="70"/>
  <c r="D51" i="70"/>
  <c r="D49" i="70"/>
  <c r="D47" i="70"/>
  <c r="D45" i="70"/>
  <c r="D43" i="70"/>
  <c r="D41" i="70"/>
  <c r="D39" i="70"/>
  <c r="D37" i="70"/>
  <c r="D35" i="70"/>
  <c r="D33" i="70"/>
  <c r="D31" i="70"/>
  <c r="D29" i="70"/>
  <c r="D27" i="70"/>
  <c r="D25" i="70"/>
  <c r="D23" i="70"/>
  <c r="D21" i="70"/>
  <c r="D19" i="70"/>
  <c r="D17" i="70"/>
  <c r="D15" i="70"/>
  <c r="D13" i="70"/>
  <c r="D11" i="70"/>
  <c r="D9" i="70"/>
  <c r="D7" i="70"/>
  <c r="D5" i="70"/>
  <c r="D3" i="70"/>
  <c r="D2" i="70"/>
  <c r="H100" i="70"/>
  <c r="H98" i="70"/>
  <c r="H96" i="70"/>
  <c r="H94" i="70"/>
  <c r="H92" i="70"/>
  <c r="H90" i="70"/>
  <c r="H88" i="70"/>
  <c r="H86" i="70"/>
  <c r="H84" i="70"/>
  <c r="H82" i="70"/>
  <c r="H80" i="70"/>
  <c r="H78" i="70"/>
  <c r="H76" i="70"/>
  <c r="H74" i="70"/>
  <c r="H72" i="70"/>
  <c r="H70" i="70"/>
  <c r="H68" i="70"/>
  <c r="H66" i="70"/>
  <c r="H64" i="70"/>
  <c r="H62" i="70"/>
  <c r="H60" i="70"/>
  <c r="H58" i="70"/>
  <c r="H56" i="70"/>
  <c r="H54" i="70"/>
  <c r="H52" i="70"/>
  <c r="H50" i="70"/>
  <c r="H48" i="70"/>
  <c r="H46" i="70"/>
  <c r="H44" i="70"/>
  <c r="H42" i="70"/>
  <c r="H40" i="70"/>
  <c r="H38" i="70"/>
  <c r="H36" i="70"/>
  <c r="H34" i="70"/>
  <c r="H32" i="70"/>
  <c r="H30" i="70"/>
  <c r="H28" i="70"/>
  <c r="H26" i="70"/>
  <c r="H24" i="70"/>
  <c r="H22" i="70"/>
  <c r="H20" i="70"/>
  <c r="H18" i="70"/>
  <c r="H16" i="70"/>
  <c r="H14" i="70"/>
  <c r="H12" i="70"/>
  <c r="H10" i="70"/>
  <c r="H8" i="70"/>
  <c r="H6" i="70"/>
  <c r="H4" i="70"/>
  <c r="H101" i="70"/>
  <c r="H99" i="70"/>
  <c r="H97" i="70"/>
  <c r="H95" i="70"/>
  <c r="H93" i="70"/>
  <c r="H91" i="70"/>
  <c r="H89" i="70"/>
  <c r="H87" i="70"/>
  <c r="H85" i="70"/>
  <c r="H83" i="70"/>
  <c r="H81" i="70"/>
  <c r="H79" i="70"/>
  <c r="H77" i="70"/>
  <c r="H75" i="70"/>
  <c r="H73" i="70"/>
  <c r="H71" i="70"/>
  <c r="H69" i="70"/>
  <c r="H67" i="70"/>
  <c r="H65" i="70"/>
  <c r="H63" i="70"/>
  <c r="H61" i="70"/>
  <c r="H59" i="70"/>
  <c r="H57" i="70"/>
  <c r="H55" i="70"/>
  <c r="H53" i="70"/>
  <c r="H51" i="70"/>
  <c r="H49" i="70"/>
  <c r="H47" i="70"/>
  <c r="H45" i="70"/>
  <c r="H43" i="70"/>
  <c r="H41" i="70"/>
  <c r="H39" i="70"/>
  <c r="H37" i="70"/>
  <c r="H35" i="70"/>
  <c r="H33" i="70"/>
  <c r="H31" i="70"/>
  <c r="H29" i="70"/>
  <c r="H27" i="70"/>
  <c r="H25" i="70"/>
  <c r="H23" i="70"/>
  <c r="H21" i="70"/>
  <c r="H19" i="70"/>
  <c r="H17" i="70"/>
  <c r="H15" i="70"/>
  <c r="H13" i="70"/>
  <c r="H11" i="70"/>
  <c r="H9" i="70"/>
  <c r="H7" i="70"/>
  <c r="H5" i="70"/>
  <c r="H3" i="70"/>
  <c r="H2" i="70"/>
  <c r="F102" i="69"/>
  <c r="F100" i="69"/>
  <c r="F98" i="69"/>
  <c r="F96" i="69"/>
  <c r="F94" i="69"/>
  <c r="F92" i="69"/>
  <c r="F90" i="69"/>
  <c r="F88" i="69"/>
  <c r="F86" i="69"/>
  <c r="F84" i="69"/>
  <c r="F82" i="69"/>
  <c r="F80" i="69"/>
  <c r="F78" i="69"/>
  <c r="F76" i="69"/>
  <c r="F74" i="69"/>
  <c r="F72" i="69"/>
  <c r="F70" i="69"/>
  <c r="F68" i="69"/>
  <c r="F66" i="69"/>
  <c r="F64" i="69"/>
  <c r="F62" i="69"/>
  <c r="F60" i="69"/>
  <c r="F58" i="69"/>
  <c r="F56" i="69"/>
  <c r="F54" i="69"/>
  <c r="F52" i="69"/>
  <c r="F50" i="69"/>
  <c r="F48" i="69"/>
  <c r="F46" i="69"/>
  <c r="F44" i="69"/>
  <c r="F42" i="69"/>
  <c r="F40" i="69"/>
  <c r="F38" i="69"/>
  <c r="F36" i="69"/>
  <c r="F34" i="69"/>
  <c r="F32" i="69"/>
  <c r="F30" i="69"/>
  <c r="F28" i="69"/>
  <c r="F26" i="69"/>
  <c r="F24" i="69"/>
  <c r="F22" i="69"/>
  <c r="F20" i="69"/>
  <c r="F18" i="69"/>
  <c r="F16" i="69"/>
  <c r="F14" i="69"/>
  <c r="F12" i="69"/>
  <c r="F10" i="69"/>
  <c r="F8" i="69"/>
  <c r="F6" i="69"/>
  <c r="F4" i="69"/>
  <c r="F101" i="69"/>
  <c r="F99" i="69"/>
  <c r="F97" i="69"/>
  <c r="F95" i="69"/>
  <c r="F93" i="69"/>
  <c r="F91" i="69"/>
  <c r="F89" i="69"/>
  <c r="F87" i="69"/>
  <c r="F85" i="69"/>
  <c r="F83" i="69"/>
  <c r="F81" i="69"/>
  <c r="F79" i="69"/>
  <c r="F77" i="69"/>
  <c r="F75" i="69"/>
  <c r="F73" i="69"/>
  <c r="F71" i="69"/>
  <c r="F69" i="69"/>
  <c r="F67" i="69"/>
  <c r="F65" i="69"/>
  <c r="F63" i="69"/>
  <c r="F61" i="69"/>
  <c r="F59" i="69"/>
  <c r="F57" i="69"/>
  <c r="F55" i="69"/>
  <c r="F53" i="69"/>
  <c r="F51" i="69"/>
  <c r="F49" i="69"/>
  <c r="F47" i="69"/>
  <c r="F45" i="69"/>
  <c r="F43" i="69"/>
  <c r="F41" i="69"/>
  <c r="F39" i="69"/>
  <c r="F37" i="69"/>
  <c r="F35" i="69"/>
  <c r="F33" i="69"/>
  <c r="F31" i="69"/>
  <c r="F29" i="69"/>
  <c r="F27" i="69"/>
  <c r="F25" i="69"/>
  <c r="F23" i="69"/>
  <c r="F21" i="69"/>
  <c r="F19" i="69"/>
  <c r="F17" i="69"/>
  <c r="F15" i="69"/>
  <c r="F13" i="69"/>
  <c r="F11" i="69"/>
  <c r="F9" i="69"/>
  <c r="F7" i="69"/>
  <c r="F5" i="69"/>
  <c r="F3" i="69"/>
  <c r="F2" i="69"/>
  <c r="E102" i="69"/>
  <c r="E100" i="69"/>
  <c r="E98" i="69"/>
  <c r="E96" i="69"/>
  <c r="E94" i="69"/>
  <c r="E92" i="69"/>
  <c r="E90" i="69"/>
  <c r="E88" i="69"/>
  <c r="E86" i="69"/>
  <c r="E84" i="69"/>
  <c r="E82" i="69"/>
  <c r="E80" i="69"/>
  <c r="E78" i="69"/>
  <c r="E76" i="69"/>
  <c r="E74" i="69"/>
  <c r="E72" i="69"/>
  <c r="E70" i="69"/>
  <c r="E68" i="69"/>
  <c r="E66" i="69"/>
  <c r="E64" i="69"/>
  <c r="E62" i="69"/>
  <c r="E60" i="69"/>
  <c r="E58" i="69"/>
  <c r="E56" i="69"/>
  <c r="E54" i="69"/>
  <c r="E52" i="69"/>
  <c r="E50" i="69"/>
  <c r="E48" i="69"/>
  <c r="E46" i="69"/>
  <c r="E44" i="69"/>
  <c r="E42" i="69"/>
  <c r="E40" i="69"/>
  <c r="E38" i="69"/>
  <c r="E36" i="69"/>
  <c r="E34" i="69"/>
  <c r="E32" i="69"/>
  <c r="E30" i="69"/>
  <c r="E28" i="69"/>
  <c r="E26" i="69"/>
  <c r="E24" i="69"/>
  <c r="E22" i="69"/>
  <c r="E20" i="69"/>
  <c r="E18" i="69"/>
  <c r="E16" i="69"/>
  <c r="E14" i="69"/>
  <c r="E12" i="69"/>
  <c r="E10" i="69"/>
  <c r="E8" i="69"/>
  <c r="E6" i="69"/>
  <c r="E4" i="69"/>
  <c r="E101" i="69"/>
  <c r="E99" i="69"/>
  <c r="E97" i="69"/>
  <c r="E95" i="69"/>
  <c r="E93" i="69"/>
  <c r="E91" i="69"/>
  <c r="E89" i="69"/>
  <c r="E87" i="69"/>
  <c r="E85" i="69"/>
  <c r="E83" i="69"/>
  <c r="E81" i="69"/>
  <c r="E79" i="69"/>
  <c r="E77" i="69"/>
  <c r="E75" i="69"/>
  <c r="E73" i="69"/>
  <c r="E71" i="69"/>
  <c r="E69" i="69"/>
  <c r="E67" i="69"/>
  <c r="E65" i="69"/>
  <c r="E63" i="69"/>
  <c r="E61" i="69"/>
  <c r="E59" i="69"/>
  <c r="E57" i="69"/>
  <c r="E55" i="69"/>
  <c r="E53" i="69"/>
  <c r="E51" i="69"/>
  <c r="E49" i="69"/>
  <c r="E47" i="69"/>
  <c r="E45" i="69"/>
  <c r="E43" i="69"/>
  <c r="E41" i="69"/>
  <c r="E39" i="69"/>
  <c r="E37" i="69"/>
  <c r="E35" i="69"/>
  <c r="E33" i="69"/>
  <c r="E31" i="69"/>
  <c r="E29" i="69"/>
  <c r="E27" i="69"/>
  <c r="E25" i="69"/>
  <c r="E23" i="69"/>
  <c r="E21" i="69"/>
  <c r="E19" i="69"/>
  <c r="E17" i="69"/>
  <c r="E15" i="69"/>
  <c r="E13" i="69"/>
  <c r="E11" i="69"/>
  <c r="E9" i="69"/>
  <c r="E7" i="69"/>
  <c r="E5" i="69"/>
  <c r="E3" i="69"/>
  <c r="E2" i="69"/>
  <c r="B152" i="68"/>
  <c r="B148" i="68"/>
  <c r="B144" i="68"/>
  <c r="B140" i="68"/>
  <c r="B136" i="68"/>
  <c r="B133" i="68"/>
  <c r="B131" i="68"/>
  <c r="B129" i="68"/>
  <c r="B127" i="68"/>
  <c r="B125" i="68"/>
  <c r="B123" i="68"/>
  <c r="B121" i="68"/>
  <c r="B119" i="68"/>
  <c r="B117" i="68"/>
  <c r="B115" i="68"/>
  <c r="B113" i="68"/>
  <c r="B111" i="68"/>
  <c r="B109" i="68"/>
  <c r="B107" i="68"/>
  <c r="B105" i="68"/>
  <c r="B103" i="68"/>
  <c r="B101" i="68"/>
  <c r="B99" i="68"/>
  <c r="B97" i="68"/>
  <c r="B95" i="68"/>
  <c r="B93" i="68"/>
  <c r="B91" i="68"/>
  <c r="B89" i="68"/>
  <c r="B86" i="68"/>
  <c r="B82" i="68"/>
  <c r="B78" i="68"/>
  <c r="B74" i="68"/>
  <c r="B70" i="68"/>
  <c r="B153" i="68"/>
  <c r="B149" i="68"/>
  <c r="B145" i="68"/>
  <c r="B141" i="68"/>
  <c r="B137" i="68"/>
  <c r="B154" i="68"/>
  <c r="B150" i="68"/>
  <c r="C150" i="68" s="1" a="1"/>
  <c r="C150" i="68" s="1"/>
  <c r="B146" i="68"/>
  <c r="B142" i="68"/>
  <c r="B138" i="68"/>
  <c r="C138" i="68" s="1" a="1"/>
  <c r="C138" i="68" s="1"/>
  <c r="B134" i="68"/>
  <c r="B132" i="68"/>
  <c r="B130" i="68"/>
  <c r="B128" i="68"/>
  <c r="B126" i="68"/>
  <c r="B124" i="68"/>
  <c r="B122" i="68"/>
  <c r="B120" i="68"/>
  <c r="B118" i="68"/>
  <c r="B116" i="68"/>
  <c r="B114" i="68"/>
  <c r="B112" i="68"/>
  <c r="B110" i="68"/>
  <c r="B108" i="68"/>
  <c r="B106" i="68"/>
  <c r="B104" i="68"/>
  <c r="C104" i="68" s="1" a="1"/>
  <c r="C104" i="68" s="1"/>
  <c r="B102" i="68"/>
  <c r="B100" i="68"/>
  <c r="B98" i="68"/>
  <c r="B96" i="68"/>
  <c r="B94" i="68"/>
  <c r="B92" i="68"/>
  <c r="B90" i="68"/>
  <c r="B88" i="68"/>
  <c r="C88" i="68" s="1" a="1"/>
  <c r="C88" i="68" s="1"/>
  <c r="B84" i="68"/>
  <c r="B80" i="68"/>
  <c r="B76" i="68"/>
  <c r="B72" i="68"/>
  <c r="B68" i="68"/>
  <c r="C68" i="68" s="1" a="1"/>
  <c r="C68" i="68" s="1"/>
  <c r="B233" i="68"/>
  <c r="B232" i="68"/>
  <c r="B231" i="68"/>
  <c r="B230" i="68"/>
  <c r="B229" i="68"/>
  <c r="B228" i="68"/>
  <c r="B227" i="68"/>
  <c r="B226" i="68"/>
  <c r="B225" i="68"/>
  <c r="B224" i="68"/>
  <c r="B223" i="68"/>
  <c r="B222" i="68"/>
  <c r="B221" i="68"/>
  <c r="B220" i="68"/>
  <c r="B219" i="68"/>
  <c r="B218" i="68"/>
  <c r="B217" i="68"/>
  <c r="B216" i="68"/>
  <c r="B215" i="68"/>
  <c r="B214" i="68"/>
  <c r="B213" i="68"/>
  <c r="B212" i="68"/>
  <c r="B211" i="68"/>
  <c r="B210" i="68"/>
  <c r="B209" i="68"/>
  <c r="B208" i="68"/>
  <c r="B207" i="68"/>
  <c r="B206" i="68"/>
  <c r="B205" i="68"/>
  <c r="B204" i="68"/>
  <c r="B203" i="68"/>
  <c r="B202" i="68"/>
  <c r="B201" i="68"/>
  <c r="B200" i="68"/>
  <c r="C200" i="68" s="1" a="1"/>
  <c r="C200" i="68" s="1"/>
  <c r="B199" i="68"/>
  <c r="B198" i="68"/>
  <c r="B197" i="68"/>
  <c r="B196" i="68"/>
  <c r="B195" i="68"/>
  <c r="B194" i="68"/>
  <c r="B193" i="68"/>
  <c r="B192" i="68"/>
  <c r="B191" i="68"/>
  <c r="B190" i="68"/>
  <c r="B189" i="68"/>
  <c r="B188" i="68"/>
  <c r="B187" i="68"/>
  <c r="B186" i="68"/>
  <c r="B185" i="68"/>
  <c r="B184" i="68"/>
  <c r="B183" i="68"/>
  <c r="B182" i="68"/>
  <c r="B181" i="68"/>
  <c r="B180" i="68"/>
  <c r="B179" i="68"/>
  <c r="B178" i="68"/>
  <c r="B177" i="68"/>
  <c r="B176" i="68"/>
  <c r="B175" i="68"/>
  <c r="B174" i="68"/>
  <c r="B173" i="68"/>
  <c r="B172" i="68"/>
  <c r="B171" i="68"/>
  <c r="B170" i="68"/>
  <c r="B169" i="68"/>
  <c r="B168" i="68"/>
  <c r="B167" i="68"/>
  <c r="B166" i="68"/>
  <c r="B165" i="68"/>
  <c r="B164" i="68"/>
  <c r="B163" i="68"/>
  <c r="B162" i="68"/>
  <c r="B161" i="68"/>
  <c r="B160" i="68"/>
  <c r="B159" i="68"/>
  <c r="B158" i="68"/>
  <c r="B157" i="68"/>
  <c r="B156" i="68"/>
  <c r="B155" i="68"/>
  <c r="B151" i="68"/>
  <c r="B147" i="68"/>
  <c r="B143" i="68"/>
  <c r="B139" i="68"/>
  <c r="B135" i="68"/>
  <c r="B66" i="68"/>
  <c r="B64" i="68"/>
  <c r="B62" i="68"/>
  <c r="B60" i="68"/>
  <c r="B58" i="68"/>
  <c r="B56" i="68"/>
  <c r="B52" i="68"/>
  <c r="B48" i="68"/>
  <c r="B55" i="68"/>
  <c r="B51" i="68"/>
  <c r="B47" i="68"/>
  <c r="B87" i="68"/>
  <c r="B85" i="68"/>
  <c r="B83" i="68"/>
  <c r="B81" i="68"/>
  <c r="B79" i="68"/>
  <c r="B77" i="68"/>
  <c r="B75" i="68"/>
  <c r="B73" i="68"/>
  <c r="B71" i="68"/>
  <c r="B69" i="68"/>
  <c r="C69" i="68" s="1" a="1"/>
  <c r="C69" i="68" s="1"/>
  <c r="B67" i="68"/>
  <c r="B65" i="68"/>
  <c r="B63" i="68"/>
  <c r="B61" i="68"/>
  <c r="B59" i="68"/>
  <c r="B57" i="68"/>
  <c r="B54" i="68"/>
  <c r="B50" i="68"/>
  <c r="B46" i="68"/>
  <c r="B53" i="68"/>
  <c r="B49" i="68"/>
  <c r="B45" i="68"/>
  <c r="B44" i="68"/>
  <c r="B43" i="68"/>
  <c r="B42" i="68"/>
  <c r="B41" i="68"/>
  <c r="B40" i="68"/>
  <c r="B39" i="68"/>
  <c r="B38" i="68"/>
  <c r="B37" i="68"/>
  <c r="B36" i="68"/>
  <c r="B35" i="68"/>
  <c r="B34" i="68"/>
  <c r="B33" i="68"/>
  <c r="B32" i="68"/>
  <c r="B31" i="68"/>
  <c r="B30" i="68"/>
  <c r="B29" i="68"/>
  <c r="B28" i="68"/>
  <c r="B27" i="68"/>
  <c r="B26" i="68"/>
  <c r="B25" i="68"/>
  <c r="B24" i="68"/>
  <c r="B23" i="68"/>
  <c r="B22" i="68"/>
  <c r="C22" i="68" s="1" a="1"/>
  <c r="C22" i="68" s="1"/>
  <c r="B21" i="68"/>
  <c r="B20" i="68"/>
  <c r="B19" i="68"/>
  <c r="B18" i="68"/>
  <c r="B17" i="68"/>
  <c r="B16" i="68"/>
  <c r="B15" i="68"/>
  <c r="B14" i="68"/>
  <c r="B13" i="68"/>
  <c r="B12" i="68"/>
  <c r="B11" i="68"/>
  <c r="B10" i="68"/>
  <c r="B9" i="68"/>
  <c r="B8" i="68"/>
  <c r="C8" i="68" s="1" a="1"/>
  <c r="C8" i="68" s="1"/>
  <c r="B7" i="68"/>
  <c r="B6" i="68"/>
  <c r="C6" i="68" s="1" a="1"/>
  <c r="C6" i="68" s="1"/>
  <c r="B5" i="68"/>
  <c r="B4" i="68"/>
  <c r="B3" i="68"/>
  <c r="C2" i="68"/>
  <c r="B2" i="68"/>
  <c r="B189" i="60"/>
  <c r="C189" i="60" s="1" a="1"/>
  <c r="C189" i="60" s="1"/>
  <c r="B177" i="60"/>
  <c r="B194" i="60"/>
  <c r="C194" i="60" s="1" a="1"/>
  <c r="C194" i="60" s="1"/>
  <c r="B190" i="60"/>
  <c r="C190" i="60" s="1" a="1"/>
  <c r="C190" i="60" s="1"/>
  <c r="B186" i="60"/>
  <c r="C186" i="60" s="1" a="1"/>
  <c r="C186" i="60" s="1"/>
  <c r="B182" i="60"/>
  <c r="C182" i="60" s="1" a="1"/>
  <c r="C182" i="60" s="1"/>
  <c r="B178" i="60"/>
  <c r="C178" i="60" s="1" a="1"/>
  <c r="C178" i="60" s="1"/>
  <c r="B174" i="60"/>
  <c r="C174" i="60" s="1" a="1"/>
  <c r="C174" i="60" s="1"/>
  <c r="B171" i="60"/>
  <c r="C171" i="60" s="1" a="1"/>
  <c r="C171" i="60" s="1"/>
  <c r="B169" i="60"/>
  <c r="C169" i="60" s="1" a="1"/>
  <c r="C169" i="60" s="1"/>
  <c r="B47" i="60"/>
  <c r="B193" i="60"/>
  <c r="C193" i="60" s="1" a="1"/>
  <c r="C193" i="60" s="1"/>
  <c r="B185" i="60"/>
  <c r="C185" i="60" s="1" a="1"/>
  <c r="C185" i="60" s="1"/>
  <c r="B181" i="60"/>
  <c r="B173" i="60"/>
  <c r="C173" i="60" s="1" a="1"/>
  <c r="C173" i="60" s="1"/>
  <c r="B78" i="60"/>
  <c r="B195" i="60"/>
  <c r="C195" i="60" s="1" a="1"/>
  <c r="C195" i="60" s="1"/>
  <c r="B191" i="60"/>
  <c r="C191" i="60" s="1" a="1"/>
  <c r="C191" i="60" s="1"/>
  <c r="B187" i="60"/>
  <c r="C187" i="60" s="1" a="1"/>
  <c r="C187" i="60" s="1"/>
  <c r="B183" i="60"/>
  <c r="C183" i="60" s="1" a="1"/>
  <c r="C183" i="60" s="1"/>
  <c r="B179" i="60"/>
  <c r="C179" i="60" s="1" a="1"/>
  <c r="C179" i="60" s="1"/>
  <c r="B175" i="60"/>
  <c r="B31" i="60"/>
  <c r="B233" i="60"/>
  <c r="C233" i="60" s="1" a="1"/>
  <c r="C233" i="60" s="1"/>
  <c r="B232" i="60"/>
  <c r="B231" i="60"/>
  <c r="B230" i="60"/>
  <c r="B229" i="60"/>
  <c r="B228" i="60"/>
  <c r="B227" i="60"/>
  <c r="B226" i="60"/>
  <c r="B225" i="60"/>
  <c r="C225" i="60" s="1" a="1"/>
  <c r="C225" i="60" s="1"/>
  <c r="B224" i="60"/>
  <c r="B223" i="60"/>
  <c r="B222" i="60"/>
  <c r="C222" i="60" s="1" a="1"/>
  <c r="C222" i="60" s="1"/>
  <c r="B221" i="60"/>
  <c r="B220" i="60"/>
  <c r="B219" i="60"/>
  <c r="B218" i="60"/>
  <c r="C218" i="60" s="1" a="1"/>
  <c r="C218" i="60" s="1"/>
  <c r="B217" i="60"/>
  <c r="C217" i="60" s="1" a="1"/>
  <c r="C217" i="60" s="1"/>
  <c r="B216" i="60"/>
  <c r="C216" i="60" s="1" a="1"/>
  <c r="C216" i="60" s="1"/>
  <c r="B215" i="60"/>
  <c r="C215" i="60" s="1" a="1"/>
  <c r="C215" i="60" s="1"/>
  <c r="B214" i="60"/>
  <c r="C214" i="60" s="1" a="1"/>
  <c r="C214" i="60" s="1"/>
  <c r="B213" i="60"/>
  <c r="C213" i="60" s="1" a="1"/>
  <c r="C213" i="60" s="1"/>
  <c r="B212" i="60"/>
  <c r="C212" i="60" s="1" a="1"/>
  <c r="C212" i="60" s="1"/>
  <c r="B211" i="60"/>
  <c r="C211" i="60" s="1" a="1"/>
  <c r="C211" i="60" s="1"/>
  <c r="B210" i="60"/>
  <c r="B209" i="60"/>
  <c r="C209" i="60" s="1" a="1"/>
  <c r="C209" i="60" s="1"/>
  <c r="B208" i="60"/>
  <c r="C208" i="60" s="1" a="1"/>
  <c r="C208" i="60" s="1"/>
  <c r="B207" i="60"/>
  <c r="C207" i="60" s="1" a="1"/>
  <c r="C207" i="60" s="1"/>
  <c r="B206" i="60"/>
  <c r="C206" i="60" s="1" a="1"/>
  <c r="C206" i="60" s="1"/>
  <c r="B205" i="60"/>
  <c r="C205" i="60" s="1" a="1"/>
  <c r="C205" i="60" s="1"/>
  <c r="B204" i="60"/>
  <c r="B203" i="60"/>
  <c r="C203" i="60" s="1" a="1"/>
  <c r="C203" i="60" s="1"/>
  <c r="B202" i="60"/>
  <c r="B201" i="60"/>
  <c r="C201" i="60" s="1" a="1"/>
  <c r="C201" i="60" s="1"/>
  <c r="B200" i="60"/>
  <c r="C200" i="60" s="1" a="1"/>
  <c r="C200" i="60" s="1"/>
  <c r="B199" i="60"/>
  <c r="B198" i="60"/>
  <c r="C198" i="60" s="1" a="1"/>
  <c r="C198" i="60" s="1"/>
  <c r="B197" i="60"/>
  <c r="C197" i="60" s="1" a="1"/>
  <c r="C197" i="60" s="1"/>
  <c r="B196" i="60"/>
  <c r="C196" i="60" s="1" a="1"/>
  <c r="C196" i="60" s="1"/>
  <c r="B192" i="60"/>
  <c r="C192" i="60" s="1" a="1"/>
  <c r="C192" i="60" s="1"/>
  <c r="B188" i="60"/>
  <c r="C188" i="60" s="1" a="1"/>
  <c r="C188" i="60" s="1"/>
  <c r="B184" i="60"/>
  <c r="C184" i="60" s="1" a="1"/>
  <c r="C184" i="60" s="1"/>
  <c r="B180" i="60"/>
  <c r="C180" i="60" s="1" a="1"/>
  <c r="C180" i="60" s="1"/>
  <c r="B176" i="60"/>
  <c r="C176" i="60" s="1" a="1"/>
  <c r="C176" i="60" s="1"/>
  <c r="B172" i="60"/>
  <c r="C172" i="60" s="1" a="1"/>
  <c r="C172" i="60" s="1"/>
  <c r="B170" i="60"/>
  <c r="C170" i="60" s="1" a="1"/>
  <c r="C170" i="60" s="1"/>
  <c r="B168" i="60"/>
  <c r="C168" i="60" s="1" a="1"/>
  <c r="C168" i="60" s="1"/>
  <c r="B62" i="60"/>
  <c r="B15" i="60"/>
  <c r="B86" i="60"/>
  <c r="B70" i="60"/>
  <c r="B53" i="60"/>
  <c r="C53" i="60" s="1" a="1"/>
  <c r="C53" i="60" s="1"/>
  <c r="B39" i="60"/>
  <c r="C39" i="60" s="1" a="1"/>
  <c r="C39" i="60" s="1"/>
  <c r="B23" i="60"/>
  <c r="B167" i="60"/>
  <c r="C167" i="60" s="1" a="1"/>
  <c r="C167" i="60" s="1"/>
  <c r="B166" i="60"/>
  <c r="C166" i="60" s="1" a="1"/>
  <c r="C166" i="60" s="1"/>
  <c r="B165" i="60"/>
  <c r="C165" i="60" s="1" a="1"/>
  <c r="C165" i="60" s="1"/>
  <c r="B164" i="60"/>
  <c r="C164" i="60" s="1" a="1"/>
  <c r="C164" i="60" s="1"/>
  <c r="B163" i="60"/>
  <c r="B162" i="60"/>
  <c r="B161" i="60"/>
  <c r="B160" i="60"/>
  <c r="B159" i="60"/>
  <c r="B158" i="60"/>
  <c r="B157" i="60"/>
  <c r="C157" i="60" s="1" a="1"/>
  <c r="C157" i="60" s="1"/>
  <c r="B156" i="60"/>
  <c r="C156" i="60" s="1" a="1"/>
  <c r="C156" i="60" s="1"/>
  <c r="B155" i="60"/>
  <c r="B154" i="60"/>
  <c r="B153" i="60"/>
  <c r="C153" i="60" s="1" a="1"/>
  <c r="C153" i="60" s="1"/>
  <c r="B152" i="60"/>
  <c r="B151" i="60"/>
  <c r="B150" i="60"/>
  <c r="C150" i="60" s="1" a="1"/>
  <c r="C150" i="60" s="1"/>
  <c r="B149" i="60"/>
  <c r="B148" i="60"/>
  <c r="B147" i="60"/>
  <c r="B146" i="60"/>
  <c r="B145" i="60"/>
  <c r="B144" i="60"/>
  <c r="B143" i="60"/>
  <c r="B142" i="60"/>
  <c r="B140" i="60"/>
  <c r="B138" i="60"/>
  <c r="C138" i="60" s="1" a="1"/>
  <c r="C138" i="60" s="1"/>
  <c r="B136" i="60"/>
  <c r="B134" i="60"/>
  <c r="B132" i="60"/>
  <c r="B130" i="60"/>
  <c r="B128" i="60"/>
  <c r="B126" i="60"/>
  <c r="B124" i="60"/>
  <c r="B122" i="60"/>
  <c r="B120" i="60"/>
  <c r="B118" i="60"/>
  <c r="B116" i="60"/>
  <c r="B114" i="60"/>
  <c r="C114" i="60" s="1" a="1"/>
  <c r="C114" i="60" s="1"/>
  <c r="B112" i="60"/>
  <c r="B110" i="60"/>
  <c r="B108" i="60"/>
  <c r="B106" i="60"/>
  <c r="B104" i="60"/>
  <c r="C104" i="60" s="1" a="1"/>
  <c r="C104" i="60" s="1"/>
  <c r="B102" i="60"/>
  <c r="B100" i="60"/>
  <c r="B74" i="60"/>
  <c r="B58" i="60"/>
  <c r="B51" i="60"/>
  <c r="B35" i="60"/>
  <c r="B19" i="60"/>
  <c r="B141" i="60"/>
  <c r="B139" i="60"/>
  <c r="B137" i="60"/>
  <c r="B135" i="60"/>
  <c r="B133" i="60"/>
  <c r="B131" i="60"/>
  <c r="B129" i="60"/>
  <c r="B127" i="60"/>
  <c r="B125" i="60"/>
  <c r="B123" i="60"/>
  <c r="B121" i="60"/>
  <c r="B119" i="60"/>
  <c r="C119" i="60" s="1" a="1"/>
  <c r="C119" i="60" s="1"/>
  <c r="B117" i="60"/>
  <c r="B115" i="60"/>
  <c r="C115" i="60" s="1" a="1"/>
  <c r="C115" i="60" s="1"/>
  <c r="B113" i="60"/>
  <c r="B111" i="60"/>
  <c r="B109" i="60"/>
  <c r="B107" i="60"/>
  <c r="B105" i="60"/>
  <c r="B103" i="60"/>
  <c r="B101" i="60"/>
  <c r="B99" i="60"/>
  <c r="B82" i="60"/>
  <c r="C82" i="60" s="1" a="1"/>
  <c r="C82" i="60" s="1"/>
  <c r="B66" i="60"/>
  <c r="B55" i="60"/>
  <c r="B43" i="60"/>
  <c r="B27" i="60"/>
  <c r="B11" i="60"/>
  <c r="B98" i="60"/>
  <c r="B97" i="60"/>
  <c r="B96" i="60"/>
  <c r="B95" i="60"/>
  <c r="B94" i="60"/>
  <c r="B93" i="60"/>
  <c r="B92" i="60"/>
  <c r="B91" i="60"/>
  <c r="B90" i="60"/>
  <c r="B89" i="60"/>
  <c r="B88" i="60"/>
  <c r="C88" i="60" s="1" a="1"/>
  <c r="C88" i="60" s="1"/>
  <c r="B84" i="60"/>
  <c r="B80" i="60"/>
  <c r="B76" i="60"/>
  <c r="B72" i="60"/>
  <c r="B68" i="60"/>
  <c r="C68" i="60" s="1" a="1"/>
  <c r="C68" i="60" s="1"/>
  <c r="B64" i="60"/>
  <c r="B60" i="60"/>
  <c r="B56" i="60"/>
  <c r="C56" i="60" s="1" a="1"/>
  <c r="C56" i="60" s="1"/>
  <c r="B54" i="60"/>
  <c r="C54" i="60" s="1" a="1"/>
  <c r="C54" i="60" s="1"/>
  <c r="B52" i="60"/>
  <c r="B49" i="60"/>
  <c r="B45" i="60"/>
  <c r="B41" i="60"/>
  <c r="B37" i="60"/>
  <c r="B33" i="60"/>
  <c r="B29" i="60"/>
  <c r="B25" i="60"/>
  <c r="B21" i="60"/>
  <c r="B17" i="60"/>
  <c r="B13" i="60"/>
  <c r="B85" i="60"/>
  <c r="B81" i="60"/>
  <c r="B77" i="60"/>
  <c r="B73" i="60"/>
  <c r="B69" i="60"/>
  <c r="B65" i="60"/>
  <c r="B61" i="60"/>
  <c r="B57" i="60"/>
  <c r="B48" i="60"/>
  <c r="B44" i="60"/>
  <c r="B40" i="60"/>
  <c r="B36" i="60"/>
  <c r="B32" i="60"/>
  <c r="B28" i="60"/>
  <c r="B24" i="60"/>
  <c r="B20" i="60"/>
  <c r="C20" i="60" s="1" a="1"/>
  <c r="C20" i="60" s="1"/>
  <c r="B16" i="60"/>
  <c r="C16" i="60" s="1" a="1"/>
  <c r="C16" i="60" s="1"/>
  <c r="B12" i="60"/>
  <c r="B87" i="60"/>
  <c r="B83" i="60"/>
  <c r="B79" i="60"/>
  <c r="B75" i="60"/>
  <c r="B71" i="60"/>
  <c r="B67" i="60"/>
  <c r="B63" i="60"/>
  <c r="B59" i="60"/>
  <c r="B50" i="60"/>
  <c r="B46" i="60"/>
  <c r="B42" i="60"/>
  <c r="B38" i="60"/>
  <c r="B34" i="60"/>
  <c r="B30" i="60"/>
  <c r="B26" i="60"/>
  <c r="B22" i="60"/>
  <c r="C22" i="60" s="1" a="1"/>
  <c r="C22" i="60" s="1"/>
  <c r="B18" i="60"/>
  <c r="B14" i="60"/>
  <c r="B10" i="60"/>
  <c r="B9" i="60"/>
  <c r="B8" i="60"/>
  <c r="C8" i="60" s="1" a="1"/>
  <c r="C8" i="60" s="1"/>
  <c r="B7" i="60"/>
  <c r="C7" i="60" s="1" a="1"/>
  <c r="C7" i="60" s="1"/>
  <c r="B6" i="60"/>
  <c r="C6" i="60" s="1" a="1"/>
  <c r="C6" i="60" s="1"/>
  <c r="B5" i="60"/>
  <c r="B4" i="60"/>
  <c r="C4" i="60" s="1" a="1"/>
  <c r="C4" i="60" s="1"/>
  <c r="B3" i="60"/>
  <c r="C2" i="60"/>
  <c r="B2" i="60"/>
  <c r="B6" i="72"/>
  <c r="B16" i="72"/>
  <c r="B14" i="72"/>
  <c r="B12" i="72"/>
  <c r="B10" i="72"/>
  <c r="B8" i="72"/>
  <c r="B4" i="72"/>
  <c r="B17" i="72"/>
  <c r="B15" i="72"/>
  <c r="B13" i="72"/>
  <c r="B11" i="72"/>
  <c r="B9" i="72"/>
  <c r="B7" i="72"/>
  <c r="B5" i="72"/>
  <c r="B3" i="72"/>
  <c r="B2" i="72"/>
  <c r="C14" i="72"/>
  <c r="C10" i="72"/>
  <c r="C2" i="72"/>
  <c r="C16" i="72"/>
  <c r="C12" i="72"/>
  <c r="C8" i="72"/>
  <c r="C6" i="72"/>
  <c r="C4" i="72"/>
  <c r="C17" i="72"/>
  <c r="C15" i="72"/>
  <c r="C13" i="72"/>
  <c r="C11" i="72"/>
  <c r="C9" i="72"/>
  <c r="C7" i="72"/>
  <c r="C5" i="72"/>
  <c r="C3" i="72"/>
  <c r="E193" i="60"/>
  <c r="F193" i="60" s="1" a="1"/>
  <c r="F193" i="60" s="1"/>
  <c r="E189" i="60"/>
  <c r="E185" i="60"/>
  <c r="F185" i="60" s="1" a="1"/>
  <c r="F185" i="60" s="1"/>
  <c r="E181" i="60"/>
  <c r="F181" i="60" s="1" a="1"/>
  <c r="F181" i="60" s="1"/>
  <c r="E179" i="60"/>
  <c r="F179" i="60" s="1" a="1"/>
  <c r="F179" i="60" s="1"/>
  <c r="E177" i="60"/>
  <c r="F177" i="60" s="1" a="1"/>
  <c r="F177" i="60" s="1"/>
  <c r="E175" i="60"/>
  <c r="E173" i="60"/>
  <c r="F173" i="60" s="1" a="1"/>
  <c r="F173" i="60" s="1"/>
  <c r="E171" i="60"/>
  <c r="F171" i="60" s="1" a="1"/>
  <c r="F171" i="60" s="1"/>
  <c r="E169" i="60"/>
  <c r="F169" i="60" s="1" a="1"/>
  <c r="F169" i="60" s="1"/>
  <c r="E167" i="60"/>
  <c r="F167" i="60" s="1" a="1"/>
  <c r="F167" i="60" s="1"/>
  <c r="E165" i="60"/>
  <c r="F165" i="60" s="1" a="1"/>
  <c r="F165" i="60" s="1"/>
  <c r="E163" i="60"/>
  <c r="E161" i="60"/>
  <c r="E159" i="60"/>
  <c r="E157" i="60"/>
  <c r="F157" i="60" s="1" a="1"/>
  <c r="F157" i="60" s="1"/>
  <c r="E153" i="60"/>
  <c r="F153" i="60" s="1" a="1"/>
  <c r="F153" i="60" s="1"/>
  <c r="E149" i="60"/>
  <c r="E145" i="60"/>
  <c r="E141" i="60"/>
  <c r="E137" i="60"/>
  <c r="E194" i="60"/>
  <c r="F194" i="60" s="1" a="1"/>
  <c r="F194" i="60" s="1"/>
  <c r="E190" i="60"/>
  <c r="F190" i="60" s="1" a="1"/>
  <c r="F190" i="60" s="1"/>
  <c r="E186" i="60"/>
  <c r="F186" i="60" s="1" a="1"/>
  <c r="F186" i="60" s="1"/>
  <c r="E182" i="60"/>
  <c r="F182" i="60" s="1" a="1"/>
  <c r="F182" i="60" s="1"/>
  <c r="E156" i="60"/>
  <c r="F156" i="60" s="1" a="1"/>
  <c r="F156" i="60" s="1"/>
  <c r="E152" i="60"/>
  <c r="E148" i="60"/>
  <c r="F148" i="60" s="1" a="1"/>
  <c r="F148" i="60" s="1"/>
  <c r="E144" i="60"/>
  <c r="E140" i="60"/>
  <c r="E136" i="60"/>
  <c r="E131" i="60"/>
  <c r="E233" i="60"/>
  <c r="F233" i="60" s="1" a="1"/>
  <c r="F233" i="60" s="1"/>
  <c r="E232" i="60"/>
  <c r="E231" i="60"/>
  <c r="E230" i="60"/>
  <c r="E229" i="60"/>
  <c r="E228" i="60"/>
  <c r="E227" i="60"/>
  <c r="E226" i="60"/>
  <c r="E225" i="60"/>
  <c r="F225" i="60" s="1" a="1"/>
  <c r="F225" i="60" s="1"/>
  <c r="E224" i="60"/>
  <c r="E223" i="60"/>
  <c r="E222" i="60"/>
  <c r="F222" i="60" s="1" a="1"/>
  <c r="F222" i="60" s="1"/>
  <c r="E221" i="60"/>
  <c r="F221" i="60" s="1" a="1"/>
  <c r="F221" i="60" s="1"/>
  <c r="E220" i="60"/>
  <c r="F220" i="60" s="1" a="1"/>
  <c r="F220" i="60" s="1"/>
  <c r="E219" i="60"/>
  <c r="F219" i="60" s="1" a="1"/>
  <c r="F219" i="60" s="1"/>
  <c r="E218" i="60"/>
  <c r="F218" i="60" s="1" a="1"/>
  <c r="F218" i="60" s="1"/>
  <c r="E217" i="60"/>
  <c r="F217" i="60" s="1" a="1"/>
  <c r="F217" i="60" s="1"/>
  <c r="E216" i="60"/>
  <c r="F216" i="60" s="1" a="1"/>
  <c r="F216" i="60" s="1"/>
  <c r="E215" i="60"/>
  <c r="F215" i="60" s="1" a="1"/>
  <c r="F215" i="60" s="1"/>
  <c r="E214" i="60"/>
  <c r="F214" i="60" s="1" a="1"/>
  <c r="F214" i="60" s="1"/>
  <c r="E213" i="60"/>
  <c r="F213" i="60" s="1" a="1"/>
  <c r="F213" i="60" s="1"/>
  <c r="E212" i="60"/>
  <c r="F212" i="60" s="1" a="1"/>
  <c r="F212" i="60" s="1"/>
  <c r="E211" i="60"/>
  <c r="F211" i="60" s="1" a="1"/>
  <c r="F211" i="60" s="1"/>
  <c r="E210" i="60"/>
  <c r="F210" i="60" s="1" a="1"/>
  <c r="F210" i="60" s="1"/>
  <c r="E209" i="60"/>
  <c r="F209" i="60" s="1" a="1"/>
  <c r="F209" i="60" s="1"/>
  <c r="E208" i="60"/>
  <c r="F208" i="60" s="1" a="1"/>
  <c r="F208" i="60" s="1"/>
  <c r="E207" i="60"/>
  <c r="F207" i="60" s="1" a="1"/>
  <c r="F207" i="60" s="1"/>
  <c r="E206" i="60"/>
  <c r="F206" i="60" s="1" a="1"/>
  <c r="F206" i="60" s="1"/>
  <c r="E205" i="60"/>
  <c r="F205" i="60" s="1" a="1"/>
  <c r="F205" i="60" s="1"/>
  <c r="E204" i="60"/>
  <c r="F204" i="60" s="1" a="1"/>
  <c r="F204" i="60" s="1"/>
  <c r="E203" i="60"/>
  <c r="F203" i="60" s="1" a="1"/>
  <c r="F203" i="60" s="1"/>
  <c r="E202" i="60"/>
  <c r="F202" i="60" s="1" a="1"/>
  <c r="F202" i="60" s="1"/>
  <c r="E201" i="60"/>
  <c r="F201" i="60" s="1" a="1"/>
  <c r="F201" i="60" s="1"/>
  <c r="E200" i="60"/>
  <c r="F200" i="60" s="1" a="1"/>
  <c r="F200" i="60" s="1"/>
  <c r="E199" i="60"/>
  <c r="E198" i="60"/>
  <c r="F198" i="60" s="1" a="1"/>
  <c r="F198" i="60" s="1"/>
  <c r="E197" i="60"/>
  <c r="F197" i="60" s="1" a="1"/>
  <c r="F197" i="60" s="1"/>
  <c r="E196" i="60"/>
  <c r="F196" i="60" s="1" a="1"/>
  <c r="F196" i="60" s="1"/>
  <c r="E195" i="60"/>
  <c r="F195" i="60" s="1" a="1"/>
  <c r="F195" i="60" s="1"/>
  <c r="E191" i="60"/>
  <c r="F191" i="60" s="1" a="1"/>
  <c r="F191" i="60" s="1"/>
  <c r="E187" i="60"/>
  <c r="F187" i="60" s="1" a="1"/>
  <c r="F187" i="60" s="1"/>
  <c r="E183" i="60"/>
  <c r="F183" i="60" s="1" a="1"/>
  <c r="F183" i="60" s="1"/>
  <c r="E180" i="60"/>
  <c r="F180" i="60" s="1" a="1"/>
  <c r="F180" i="60" s="1"/>
  <c r="E178" i="60"/>
  <c r="F178" i="60" s="1" a="1"/>
  <c r="F178" i="60" s="1"/>
  <c r="E176" i="60"/>
  <c r="F176" i="60" s="1" a="1"/>
  <c r="F176" i="60" s="1"/>
  <c r="E174" i="60"/>
  <c r="F174" i="60" s="1" a="1"/>
  <c r="F174" i="60" s="1"/>
  <c r="E172" i="60"/>
  <c r="F172" i="60" s="1" a="1"/>
  <c r="F172" i="60" s="1"/>
  <c r="E170" i="60"/>
  <c r="F170" i="60" s="1" a="1"/>
  <c r="F170" i="60" s="1"/>
  <c r="E168" i="60"/>
  <c r="F168" i="60" s="1" a="1"/>
  <c r="F168" i="60" s="1"/>
  <c r="E166" i="60"/>
  <c r="F166" i="60" s="1" a="1"/>
  <c r="F166" i="60" s="1"/>
  <c r="E164" i="60"/>
  <c r="F164" i="60" s="1" a="1"/>
  <c r="F164" i="60" s="1"/>
  <c r="E162" i="60"/>
  <c r="F162" i="60" s="1" a="1"/>
  <c r="F162" i="60" s="1"/>
  <c r="E160" i="60"/>
  <c r="E158" i="60"/>
  <c r="E155" i="60"/>
  <c r="F155" i="60" s="1" a="1"/>
  <c r="F155" i="60" s="1"/>
  <c r="E151" i="60"/>
  <c r="F151" i="60" s="1" a="1"/>
  <c r="F151" i="60" s="1"/>
  <c r="E147" i="60"/>
  <c r="E143" i="60"/>
  <c r="E139" i="60"/>
  <c r="F139" i="60" s="1" a="1"/>
  <c r="F139" i="60" s="1"/>
  <c r="E135" i="60"/>
  <c r="E192" i="60"/>
  <c r="F192" i="60" s="1" a="1"/>
  <c r="F192" i="60" s="1"/>
  <c r="E188" i="60"/>
  <c r="F188" i="60" s="1" a="1"/>
  <c r="F188" i="60" s="1"/>
  <c r="E184" i="60"/>
  <c r="F184" i="60" s="1" a="1"/>
  <c r="F184" i="60" s="1"/>
  <c r="E154" i="60"/>
  <c r="E150" i="60"/>
  <c r="F150" i="60" s="1" a="1"/>
  <c r="F150" i="60" s="1"/>
  <c r="E146" i="60"/>
  <c r="E142" i="60"/>
  <c r="E138" i="60"/>
  <c r="F138" i="60" s="1" a="1"/>
  <c r="F138" i="60" s="1"/>
  <c r="E132" i="60"/>
  <c r="E128" i="60"/>
  <c r="E126" i="60"/>
  <c r="E124" i="60"/>
  <c r="E133" i="60"/>
  <c r="E129" i="60"/>
  <c r="E134" i="60"/>
  <c r="E130" i="60"/>
  <c r="E127" i="60"/>
  <c r="E125" i="60"/>
  <c r="E123" i="60"/>
  <c r="E122" i="60"/>
  <c r="E121" i="60"/>
  <c r="F121" i="60" s="1" a="1"/>
  <c r="F121" i="60" s="1"/>
  <c r="E120" i="60"/>
  <c r="E119" i="60"/>
  <c r="F119" i="60" s="1" a="1"/>
  <c r="F119" i="60" s="1"/>
  <c r="E118" i="60"/>
  <c r="E117" i="60"/>
  <c r="E116" i="60"/>
  <c r="E115" i="60"/>
  <c r="F115" i="60" s="1" a="1"/>
  <c r="F115" i="60" s="1"/>
  <c r="E114" i="60"/>
  <c r="F114" i="60" s="1" a="1"/>
  <c r="F114" i="60" s="1"/>
  <c r="E113" i="60"/>
  <c r="E112" i="60"/>
  <c r="E111" i="60"/>
  <c r="E110" i="60"/>
  <c r="E109" i="60"/>
  <c r="E108" i="60"/>
  <c r="E107" i="60"/>
  <c r="E106" i="60"/>
  <c r="E105" i="60"/>
  <c r="E104" i="60"/>
  <c r="F104" i="60" s="1" a="1"/>
  <c r="F104" i="60" s="1"/>
  <c r="E103" i="60"/>
  <c r="E102" i="60"/>
  <c r="E101" i="60"/>
  <c r="E100" i="60"/>
  <c r="E99" i="60"/>
  <c r="E98" i="60"/>
  <c r="E97" i="60"/>
  <c r="E96" i="60"/>
  <c r="E95" i="60"/>
  <c r="F95" i="60" s="1" a="1"/>
  <c r="F95" i="60" s="1"/>
  <c r="E94" i="60"/>
  <c r="E93" i="60"/>
  <c r="E92" i="60"/>
  <c r="E91" i="60"/>
  <c r="E90" i="60"/>
  <c r="E89" i="60"/>
  <c r="F89" i="60" s="1" a="1"/>
  <c r="F89" i="60" s="1"/>
  <c r="E88" i="60"/>
  <c r="F88" i="60" s="1" a="1"/>
  <c r="F88" i="60" s="1"/>
  <c r="E87" i="60"/>
  <c r="E86" i="60"/>
  <c r="E85" i="60"/>
  <c r="E84" i="60"/>
  <c r="E83" i="60"/>
  <c r="E82" i="60"/>
  <c r="F82" i="60" s="1" a="1"/>
  <c r="F82" i="60" s="1"/>
  <c r="E81" i="60"/>
  <c r="E80" i="60"/>
  <c r="E79" i="60"/>
  <c r="E78" i="60"/>
  <c r="F78" i="60" s="1" a="1"/>
  <c r="F78" i="60" s="1"/>
  <c r="E77" i="60"/>
  <c r="E76" i="60"/>
  <c r="F76" i="60" s="1" a="1"/>
  <c r="F76" i="60" s="1"/>
  <c r="E75" i="60"/>
  <c r="E74" i="60"/>
  <c r="E73" i="60"/>
  <c r="E72" i="60"/>
  <c r="E71" i="60"/>
  <c r="E70" i="60"/>
  <c r="F70" i="60" s="1" a="1"/>
  <c r="F70" i="60" s="1"/>
  <c r="E69" i="60"/>
  <c r="F69" i="60" s="1" a="1"/>
  <c r="F69" i="60" s="1"/>
  <c r="E68" i="60"/>
  <c r="F68" i="60" s="1" a="1"/>
  <c r="F68" i="60" s="1"/>
  <c r="E67" i="60"/>
  <c r="F67" i="60" s="1" a="1"/>
  <c r="F67" i="60" s="1"/>
  <c r="E66" i="60"/>
  <c r="E65" i="60"/>
  <c r="E64" i="60"/>
  <c r="E63" i="60"/>
  <c r="F63" i="60" s="1" a="1"/>
  <c r="F63" i="60" s="1"/>
  <c r="E62" i="60"/>
  <c r="E61" i="60"/>
  <c r="E60" i="60"/>
  <c r="F60" i="60" s="1" a="1"/>
  <c r="F60" i="60" s="1"/>
  <c r="E59" i="60"/>
  <c r="E58" i="60"/>
  <c r="E57" i="60"/>
  <c r="E56" i="60"/>
  <c r="F56" i="60" s="1" a="1"/>
  <c r="F56" i="60" s="1"/>
  <c r="E55" i="60"/>
  <c r="E54" i="60"/>
  <c r="F54" i="60" s="1" a="1"/>
  <c r="F54" i="60" s="1"/>
  <c r="E53" i="60"/>
  <c r="F53" i="60" s="1" a="1"/>
  <c r="F53" i="60" s="1"/>
  <c r="E52" i="60"/>
  <c r="E51" i="60"/>
  <c r="E50" i="60"/>
  <c r="E49" i="60"/>
  <c r="E48" i="60"/>
  <c r="E47" i="60"/>
  <c r="E46" i="60"/>
  <c r="E45" i="60"/>
  <c r="E44" i="60"/>
  <c r="F44" i="60" s="1" a="1"/>
  <c r="F44" i="60" s="1"/>
  <c r="E43" i="60"/>
  <c r="E42" i="60"/>
  <c r="E41" i="60"/>
  <c r="F41" i="60" s="1" a="1"/>
  <c r="F41" i="60" s="1"/>
  <c r="E40" i="60"/>
  <c r="E39" i="60"/>
  <c r="F39" i="60" s="1" a="1"/>
  <c r="F39" i="60" s="1"/>
  <c r="E38" i="60"/>
  <c r="E37" i="60"/>
  <c r="E36" i="60"/>
  <c r="E35" i="60"/>
  <c r="E34" i="60"/>
  <c r="E33" i="60"/>
  <c r="E32" i="60"/>
  <c r="E31" i="60"/>
  <c r="E30" i="60"/>
  <c r="E29" i="60"/>
  <c r="E28" i="60"/>
  <c r="E27" i="60"/>
  <c r="F27" i="60" s="1" a="1"/>
  <c r="F27" i="60" s="1"/>
  <c r="E26" i="60"/>
  <c r="F26" i="60" s="1" a="1"/>
  <c r="F26" i="60" s="1"/>
  <c r="E25" i="60"/>
  <c r="E24" i="60"/>
  <c r="F24" i="60" s="1" a="1"/>
  <c r="F24" i="60" s="1"/>
  <c r="E23" i="60"/>
  <c r="F23" i="60" s="1" a="1"/>
  <c r="F23" i="60" s="1"/>
  <c r="E22" i="60"/>
  <c r="F22" i="60" s="1" a="1"/>
  <c r="F22" i="60" s="1"/>
  <c r="E21" i="60"/>
  <c r="E20" i="60"/>
  <c r="E19" i="60"/>
  <c r="E18" i="60"/>
  <c r="E17" i="60"/>
  <c r="E16" i="60"/>
  <c r="F16" i="60" s="1" a="1"/>
  <c r="F16" i="60" s="1"/>
  <c r="E15" i="60"/>
  <c r="E14" i="60"/>
  <c r="E13" i="60"/>
  <c r="E12" i="60"/>
  <c r="E11" i="60"/>
  <c r="E10" i="60"/>
  <c r="E9" i="60"/>
  <c r="E8" i="60"/>
  <c r="F8" i="60" s="1" a="1"/>
  <c r="F8" i="60" s="1"/>
  <c r="E7" i="60"/>
  <c r="F7" i="60" s="1" a="1"/>
  <c r="F7" i="60" s="1"/>
  <c r="E6" i="60"/>
  <c r="F6" i="60" s="1" a="1"/>
  <c r="F6" i="60" s="1"/>
  <c r="E5" i="60"/>
  <c r="E4" i="60"/>
  <c r="F4" i="60" s="1" a="1"/>
  <c r="F4" i="60" s="1"/>
  <c r="E3" i="60"/>
  <c r="F3" i="60" s="1" a="1"/>
  <c r="F3" i="60" s="1"/>
  <c r="E233" i="68"/>
  <c r="E231" i="68"/>
  <c r="E232" i="68"/>
  <c r="E180" i="68"/>
  <c r="E176" i="68"/>
  <c r="E172" i="68"/>
  <c r="E168" i="68"/>
  <c r="E164" i="68"/>
  <c r="E160" i="68"/>
  <c r="E156" i="68"/>
  <c r="F156" i="68" s="1" a="1"/>
  <c r="F156" i="68" s="1"/>
  <c r="E152" i="68"/>
  <c r="E148" i="68"/>
  <c r="E144" i="68"/>
  <c r="E140" i="68"/>
  <c r="E136" i="68"/>
  <c r="E87" i="68"/>
  <c r="E71" i="68"/>
  <c r="E55" i="68"/>
  <c r="E181" i="68"/>
  <c r="E177" i="68"/>
  <c r="E173" i="68"/>
  <c r="E169" i="68"/>
  <c r="E165" i="68"/>
  <c r="E161" i="68"/>
  <c r="E157" i="68"/>
  <c r="F157" i="68" s="1" a="1"/>
  <c r="F157" i="68" s="1"/>
  <c r="E153" i="68"/>
  <c r="E149" i="68"/>
  <c r="E145" i="68"/>
  <c r="E141" i="68"/>
  <c r="E137" i="68"/>
  <c r="F137" i="68" s="1" a="1"/>
  <c r="F137" i="68" s="1"/>
  <c r="E134" i="68"/>
  <c r="E132" i="68"/>
  <c r="E130" i="68"/>
  <c r="E128" i="68"/>
  <c r="E126" i="68"/>
  <c r="E124" i="68"/>
  <c r="E122" i="68"/>
  <c r="E120" i="68"/>
  <c r="E118" i="68"/>
  <c r="E116" i="68"/>
  <c r="E114" i="68"/>
  <c r="E112" i="68"/>
  <c r="E110" i="68"/>
  <c r="E108" i="68"/>
  <c r="E106" i="68"/>
  <c r="E104" i="68"/>
  <c r="F104" i="68" s="1" a="1"/>
  <c r="F104" i="68" s="1"/>
  <c r="E102" i="68"/>
  <c r="E75" i="68"/>
  <c r="E59" i="68"/>
  <c r="E182" i="68"/>
  <c r="E178" i="68"/>
  <c r="F178" i="68" s="1" a="1"/>
  <c r="F178" i="68" s="1"/>
  <c r="E174" i="68"/>
  <c r="E170" i="68"/>
  <c r="E166" i="68"/>
  <c r="E162" i="68"/>
  <c r="F162" i="68" s="1" a="1"/>
  <c r="F162" i="68" s="1"/>
  <c r="E158" i="68"/>
  <c r="E154" i="68"/>
  <c r="E150" i="68"/>
  <c r="F150" i="68" s="1" a="1"/>
  <c r="F150" i="68" s="1"/>
  <c r="E146" i="68"/>
  <c r="E142" i="68"/>
  <c r="E138" i="68"/>
  <c r="F138" i="68" s="1" a="1"/>
  <c r="F138" i="68" s="1"/>
  <c r="E79" i="68"/>
  <c r="E63" i="68"/>
  <c r="E47" i="68"/>
  <c r="E230" i="68"/>
  <c r="E229" i="68"/>
  <c r="E228" i="68"/>
  <c r="E227" i="68"/>
  <c r="E226" i="68"/>
  <c r="E225" i="68"/>
  <c r="E224" i="68"/>
  <c r="E223" i="68"/>
  <c r="E222" i="68"/>
  <c r="E221" i="68"/>
  <c r="E220" i="68"/>
  <c r="F220" i="68" s="1" a="1"/>
  <c r="F220" i="68" s="1"/>
  <c r="E219" i="68"/>
  <c r="E218" i="68"/>
  <c r="F218" i="68" s="1" a="1"/>
  <c r="F218" i="68" s="1"/>
  <c r="E217" i="68"/>
  <c r="E216" i="68"/>
  <c r="E215" i="68"/>
  <c r="E214" i="68"/>
  <c r="E213" i="68"/>
  <c r="E212" i="68"/>
  <c r="E211" i="68"/>
  <c r="E210" i="68"/>
  <c r="E209" i="68"/>
  <c r="E208" i="68"/>
  <c r="E207" i="68"/>
  <c r="F207" i="68" s="1" a="1"/>
  <c r="F207" i="68" s="1"/>
  <c r="E206" i="68"/>
  <c r="F206" i="68" s="1" a="1"/>
  <c r="F206" i="68" s="1"/>
  <c r="E205" i="68"/>
  <c r="E204" i="68"/>
  <c r="E203" i="68"/>
  <c r="E202" i="68"/>
  <c r="F202" i="68" s="1" a="1"/>
  <c r="F202" i="68" s="1"/>
  <c r="E201" i="68"/>
  <c r="E200" i="68"/>
  <c r="F200" i="68" s="1" a="1"/>
  <c r="F200" i="68" s="1"/>
  <c r="E199" i="68"/>
  <c r="E198" i="68"/>
  <c r="E197" i="68"/>
  <c r="F197" i="68" s="1" a="1"/>
  <c r="F197" i="68" s="1"/>
  <c r="E196" i="68"/>
  <c r="E195" i="68"/>
  <c r="E194" i="68"/>
  <c r="E193" i="68"/>
  <c r="E192" i="68"/>
  <c r="E191" i="68"/>
  <c r="E190" i="68"/>
  <c r="E189" i="68"/>
  <c r="E188" i="68"/>
  <c r="E187" i="68"/>
  <c r="E186" i="68"/>
  <c r="E185" i="68"/>
  <c r="E184" i="68"/>
  <c r="E183" i="68"/>
  <c r="E179" i="68"/>
  <c r="E175" i="68"/>
  <c r="E171" i="68"/>
  <c r="E167" i="68"/>
  <c r="E163" i="68"/>
  <c r="E159" i="68"/>
  <c r="E155" i="68"/>
  <c r="E151" i="68"/>
  <c r="E147" i="68"/>
  <c r="E143" i="68"/>
  <c r="E139" i="68"/>
  <c r="F139" i="68" s="1" a="1"/>
  <c r="F139" i="68" s="1"/>
  <c r="E135" i="68"/>
  <c r="E133" i="68"/>
  <c r="E131" i="68"/>
  <c r="E129" i="68"/>
  <c r="E127" i="68"/>
  <c r="E125" i="68"/>
  <c r="E123" i="68"/>
  <c r="E121" i="68"/>
  <c r="E119" i="68"/>
  <c r="E117" i="68"/>
  <c r="E115" i="68"/>
  <c r="E113" i="68"/>
  <c r="E111" i="68"/>
  <c r="E109" i="68"/>
  <c r="E107" i="68"/>
  <c r="E105" i="68"/>
  <c r="E103" i="68"/>
  <c r="E83" i="68"/>
  <c r="E67" i="68"/>
  <c r="E51" i="68"/>
  <c r="E101" i="68"/>
  <c r="E100" i="68"/>
  <c r="E99" i="68"/>
  <c r="E98" i="68"/>
  <c r="E97" i="68"/>
  <c r="E96" i="68"/>
  <c r="E95" i="68"/>
  <c r="F95" i="68" s="1" a="1"/>
  <c r="F95" i="68" s="1"/>
  <c r="E94" i="68"/>
  <c r="E93" i="68"/>
  <c r="E92" i="68"/>
  <c r="E91" i="68"/>
  <c r="E90" i="68"/>
  <c r="E89" i="68"/>
  <c r="F89" i="68" s="1" a="1"/>
  <c r="F89" i="68" s="1"/>
  <c r="E88" i="68"/>
  <c r="F88" i="68" s="1" a="1"/>
  <c r="F88" i="68" s="1"/>
  <c r="E84" i="68"/>
  <c r="E80" i="68"/>
  <c r="E76" i="68"/>
  <c r="E72" i="68"/>
  <c r="E68" i="68"/>
  <c r="F68" i="68" s="1" a="1"/>
  <c r="F68" i="68" s="1"/>
  <c r="E64" i="68"/>
  <c r="E60" i="68"/>
  <c r="F60" i="68" s="1" a="1"/>
  <c r="F60" i="68" s="1"/>
  <c r="E56" i="68"/>
  <c r="E52" i="68"/>
  <c r="E48" i="68"/>
  <c r="E44" i="68"/>
  <c r="F44" i="68" s="1" a="1"/>
  <c r="F44" i="68" s="1"/>
  <c r="E42" i="68"/>
  <c r="E40" i="68"/>
  <c r="E38" i="68"/>
  <c r="E36" i="68"/>
  <c r="E34" i="68"/>
  <c r="E32" i="68"/>
  <c r="E30" i="68"/>
  <c r="E28" i="68"/>
  <c r="E26" i="68"/>
  <c r="E24" i="68"/>
  <c r="E85" i="68"/>
  <c r="E81" i="68"/>
  <c r="E77" i="68"/>
  <c r="E73" i="68"/>
  <c r="E69" i="68"/>
  <c r="F69" i="68" s="1" a="1"/>
  <c r="F69" i="68" s="1"/>
  <c r="E65" i="68"/>
  <c r="E61" i="68"/>
  <c r="E57" i="68"/>
  <c r="E53" i="68"/>
  <c r="E49" i="68"/>
  <c r="E45" i="68"/>
  <c r="E86" i="68"/>
  <c r="E82" i="68"/>
  <c r="F82" i="68" s="1" a="1"/>
  <c r="F82" i="68" s="1"/>
  <c r="E78" i="68"/>
  <c r="F78" i="68" s="1" a="1"/>
  <c r="F78" i="68" s="1"/>
  <c r="E74" i="68"/>
  <c r="E70" i="68"/>
  <c r="E66" i="68"/>
  <c r="E62" i="68"/>
  <c r="E58" i="68"/>
  <c r="E54" i="68"/>
  <c r="E50" i="68"/>
  <c r="E46" i="68"/>
  <c r="E43" i="68"/>
  <c r="E41" i="68"/>
  <c r="F41" i="68" s="1" a="1"/>
  <c r="F41" i="68" s="1"/>
  <c r="E39" i="68"/>
  <c r="F39" i="68" s="1" a="1"/>
  <c r="F39" i="68" s="1"/>
  <c r="E37" i="68"/>
  <c r="E35" i="68"/>
  <c r="E33" i="68"/>
  <c r="E31" i="68"/>
  <c r="E29" i="68"/>
  <c r="E27" i="68"/>
  <c r="F27" i="68" s="1" a="1"/>
  <c r="F27" i="68" s="1"/>
  <c r="E25" i="68"/>
  <c r="E23" i="68"/>
  <c r="E22" i="68"/>
  <c r="F22" i="68" s="1" a="1"/>
  <c r="F22" i="68" s="1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F8" i="68" s="1" a="1"/>
  <c r="F8" i="68" s="1"/>
  <c r="E7" i="68"/>
  <c r="E6" i="68"/>
  <c r="F6" i="68" s="1" a="1"/>
  <c r="F6" i="68" s="1"/>
  <c r="E5" i="68"/>
  <c r="E4" i="68"/>
  <c r="F4" i="68" s="1" a="1"/>
  <c r="F4" i="68" s="1"/>
  <c r="E3" i="68"/>
  <c r="E72" i="71"/>
  <c r="E64" i="71"/>
  <c r="E56" i="71"/>
  <c r="E48" i="71"/>
  <c r="E40" i="71"/>
  <c r="E32" i="71"/>
  <c r="E24" i="71"/>
  <c r="E16" i="71"/>
  <c r="E100" i="71"/>
  <c r="E96" i="71"/>
  <c r="E92" i="71"/>
  <c r="E88" i="71"/>
  <c r="E84" i="71"/>
  <c r="E80" i="71"/>
  <c r="E76" i="71"/>
  <c r="E70" i="71"/>
  <c r="E62" i="71"/>
  <c r="E54" i="71"/>
  <c r="E46" i="71"/>
  <c r="E38" i="71"/>
  <c r="E30" i="71"/>
  <c r="E22" i="71"/>
  <c r="E14" i="71"/>
  <c r="E68" i="71"/>
  <c r="E60" i="71"/>
  <c r="E52" i="71"/>
  <c r="E44" i="71"/>
  <c r="E36" i="71"/>
  <c r="E28" i="71"/>
  <c r="E20" i="71"/>
  <c r="E12" i="71"/>
  <c r="E2" i="71"/>
  <c r="E98" i="71"/>
  <c r="E94" i="71"/>
  <c r="E90" i="71"/>
  <c r="E86" i="71"/>
  <c r="E82" i="71"/>
  <c r="E78" i="71"/>
  <c r="E74" i="71"/>
  <c r="E66" i="71"/>
  <c r="E58" i="71"/>
  <c r="E50" i="71"/>
  <c r="E42" i="71"/>
  <c r="E34" i="71"/>
  <c r="E26" i="71"/>
  <c r="E18" i="71"/>
  <c r="E10" i="71"/>
  <c r="E8" i="71"/>
  <c r="E6" i="71"/>
  <c r="E4" i="71"/>
  <c r="E101" i="71"/>
  <c r="E99" i="71"/>
  <c r="E97" i="71"/>
  <c r="E95" i="71"/>
  <c r="E93" i="71"/>
  <c r="E91" i="71"/>
  <c r="E89" i="71"/>
  <c r="E87" i="71"/>
  <c r="E85" i="71"/>
  <c r="E83" i="71"/>
  <c r="E81" i="71"/>
  <c r="E79" i="71"/>
  <c r="E77" i="71"/>
  <c r="E75" i="71"/>
  <c r="E73" i="71"/>
  <c r="E71" i="71"/>
  <c r="E69" i="71"/>
  <c r="E67" i="71"/>
  <c r="E65" i="71"/>
  <c r="E63" i="71"/>
  <c r="E61" i="71"/>
  <c r="E59" i="71"/>
  <c r="E57" i="71"/>
  <c r="E55" i="71"/>
  <c r="E53" i="71"/>
  <c r="E51" i="71"/>
  <c r="E49" i="71"/>
  <c r="E47" i="71"/>
  <c r="E45" i="71"/>
  <c r="E43" i="71"/>
  <c r="E41" i="71"/>
  <c r="E39" i="71"/>
  <c r="E37" i="71"/>
  <c r="E35" i="71"/>
  <c r="E33" i="71"/>
  <c r="E31" i="71"/>
  <c r="E29" i="71"/>
  <c r="E27" i="71"/>
  <c r="E25" i="71"/>
  <c r="E23" i="71"/>
  <c r="E21" i="71"/>
  <c r="E19" i="71"/>
  <c r="E17" i="71"/>
  <c r="E15" i="71"/>
  <c r="E13" i="71"/>
  <c r="E11" i="71"/>
  <c r="E9" i="71"/>
  <c r="E7" i="71"/>
  <c r="E5" i="71"/>
  <c r="E3" i="71"/>
  <c r="E99" i="70"/>
  <c r="E97" i="70"/>
  <c r="E94" i="70"/>
  <c r="E87" i="70"/>
  <c r="E83" i="70"/>
  <c r="E96" i="70"/>
  <c r="E89" i="70"/>
  <c r="E101" i="70"/>
  <c r="E98" i="70"/>
  <c r="E93" i="70"/>
  <c r="E91" i="70"/>
  <c r="E85" i="70"/>
  <c r="E100" i="70"/>
  <c r="E95" i="70"/>
  <c r="E72" i="70"/>
  <c r="E68" i="70"/>
  <c r="E64" i="70"/>
  <c r="E60" i="70"/>
  <c r="E56" i="70"/>
  <c r="E81" i="70"/>
  <c r="E79" i="70"/>
  <c r="E77" i="70"/>
  <c r="E75" i="70"/>
  <c r="E71" i="70"/>
  <c r="E67" i="70"/>
  <c r="E63" i="70"/>
  <c r="E59" i="70"/>
  <c r="E70" i="70"/>
  <c r="E66" i="70"/>
  <c r="E62" i="70"/>
  <c r="E58" i="70"/>
  <c r="E55" i="70"/>
  <c r="E92" i="70"/>
  <c r="E90" i="70"/>
  <c r="E88" i="70"/>
  <c r="E86" i="70"/>
  <c r="E84" i="70"/>
  <c r="E82" i="70"/>
  <c r="E80" i="70"/>
  <c r="E78" i="70"/>
  <c r="E76" i="70"/>
  <c r="E74" i="70"/>
  <c r="E73" i="70"/>
  <c r="E69" i="70"/>
  <c r="E65" i="70"/>
  <c r="E61" i="70"/>
  <c r="E57" i="70"/>
  <c r="E49" i="70"/>
  <c r="E41" i="70"/>
  <c r="E33" i="70"/>
  <c r="E25" i="70"/>
  <c r="E13" i="70"/>
  <c r="E5" i="70"/>
  <c r="E53" i="70"/>
  <c r="E45" i="70"/>
  <c r="E37" i="70"/>
  <c r="E29" i="70"/>
  <c r="E21" i="70"/>
  <c r="E17" i="70"/>
  <c r="E9" i="70"/>
  <c r="E51" i="70"/>
  <c r="E47" i="70"/>
  <c r="E43" i="70"/>
  <c r="E39" i="70"/>
  <c r="E35" i="70"/>
  <c r="E31" i="70"/>
  <c r="E27" i="70"/>
  <c r="E23" i="70"/>
  <c r="E19" i="70"/>
  <c r="E15" i="70"/>
  <c r="E11" i="70"/>
  <c r="E7" i="70"/>
  <c r="E3" i="70"/>
  <c r="E54" i="70"/>
  <c r="E52" i="70"/>
  <c r="E50" i="70"/>
  <c r="E48" i="70"/>
  <c r="E46" i="70"/>
  <c r="E44" i="70"/>
  <c r="E42" i="70"/>
  <c r="E40" i="70"/>
  <c r="E38" i="70"/>
  <c r="E36" i="70"/>
  <c r="E34" i="70"/>
  <c r="E32" i="70"/>
  <c r="E30" i="70"/>
  <c r="E28" i="70"/>
  <c r="E26" i="70"/>
  <c r="E24" i="70"/>
  <c r="E22" i="70"/>
  <c r="E20" i="70"/>
  <c r="E18" i="70"/>
  <c r="E16" i="70"/>
  <c r="E14" i="70"/>
  <c r="E12" i="70"/>
  <c r="E10" i="70"/>
  <c r="E8" i="70"/>
  <c r="E6" i="70"/>
  <c r="E4" i="70"/>
  <c r="E2" i="70"/>
  <c r="H96" i="69"/>
  <c r="H74" i="69"/>
  <c r="H98" i="69"/>
  <c r="H90" i="69"/>
  <c r="H84" i="69"/>
  <c r="H82" i="69"/>
  <c r="H78" i="69"/>
  <c r="H72" i="69"/>
  <c r="H70" i="69"/>
  <c r="H68" i="69"/>
  <c r="H64" i="69"/>
  <c r="H62" i="69"/>
  <c r="H60" i="69"/>
  <c r="H58" i="69"/>
  <c r="H56" i="69"/>
  <c r="H54" i="69"/>
  <c r="H52" i="69"/>
  <c r="H50" i="69"/>
  <c r="H48" i="69"/>
  <c r="H46" i="69"/>
  <c r="H44" i="69"/>
  <c r="H42" i="69"/>
  <c r="H40" i="69"/>
  <c r="H38" i="69"/>
  <c r="H36" i="69"/>
  <c r="H34" i="69"/>
  <c r="H32" i="69"/>
  <c r="H30" i="69"/>
  <c r="H28" i="69"/>
  <c r="H26" i="69"/>
  <c r="H24" i="69"/>
  <c r="H22" i="69"/>
  <c r="H20" i="69"/>
  <c r="H18" i="69"/>
  <c r="H16" i="69"/>
  <c r="H14" i="69"/>
  <c r="H12" i="69"/>
  <c r="H10" i="69"/>
  <c r="H8" i="69"/>
  <c r="H6" i="69"/>
  <c r="H4" i="69"/>
  <c r="G2" i="69"/>
  <c r="H102" i="69"/>
  <c r="H94" i="69"/>
  <c r="H86" i="69"/>
  <c r="H80" i="69"/>
  <c r="H66" i="69"/>
  <c r="H100" i="69"/>
  <c r="H92" i="69"/>
  <c r="H88" i="69"/>
  <c r="H76" i="69"/>
  <c r="H2" i="69"/>
  <c r="H101" i="69"/>
  <c r="H99" i="69"/>
  <c r="H97" i="69"/>
  <c r="H95" i="69"/>
  <c r="H93" i="69"/>
  <c r="H91" i="69"/>
  <c r="H89" i="69"/>
  <c r="H87" i="69"/>
  <c r="H85" i="69"/>
  <c r="H83" i="69"/>
  <c r="H81" i="69"/>
  <c r="H79" i="69"/>
  <c r="H77" i="69"/>
  <c r="H75" i="69"/>
  <c r="H73" i="69"/>
  <c r="H71" i="69"/>
  <c r="H69" i="69"/>
  <c r="H67" i="69"/>
  <c r="H65" i="69"/>
  <c r="H63" i="69"/>
  <c r="H61" i="69"/>
  <c r="H59" i="69"/>
  <c r="H57" i="69"/>
  <c r="H55" i="69"/>
  <c r="H53" i="69"/>
  <c r="H51" i="69"/>
  <c r="H49" i="69"/>
  <c r="H47" i="69"/>
  <c r="H45" i="69"/>
  <c r="H43" i="69"/>
  <c r="H41" i="69"/>
  <c r="H39" i="69"/>
  <c r="H37" i="69"/>
  <c r="H35" i="69"/>
  <c r="H33" i="69"/>
  <c r="H31" i="69"/>
  <c r="H29" i="69"/>
  <c r="H27" i="69"/>
  <c r="H25" i="69"/>
  <c r="H23" i="69"/>
  <c r="H21" i="69"/>
  <c r="H19" i="69"/>
  <c r="H17" i="69"/>
  <c r="H15" i="69"/>
  <c r="H13" i="69"/>
  <c r="H11" i="69"/>
  <c r="H9" i="69"/>
  <c r="H7" i="69"/>
  <c r="H5" i="69"/>
  <c r="H3" i="69"/>
  <c r="G98" i="69"/>
  <c r="G92" i="69"/>
  <c r="G84" i="69"/>
  <c r="G76" i="69"/>
  <c r="G46" i="69"/>
  <c r="G100" i="69"/>
  <c r="G94" i="69"/>
  <c r="G88" i="69"/>
  <c r="G82" i="69"/>
  <c r="G78" i="69"/>
  <c r="G74" i="69"/>
  <c r="G70" i="69"/>
  <c r="G68" i="69"/>
  <c r="G66" i="69"/>
  <c r="G64" i="69"/>
  <c r="G62" i="69"/>
  <c r="G60" i="69"/>
  <c r="G58" i="69"/>
  <c r="G56" i="69"/>
  <c r="G54" i="69"/>
  <c r="G52" i="69"/>
  <c r="G50" i="69"/>
  <c r="G48" i="69"/>
  <c r="G44" i="69"/>
  <c r="G42" i="69"/>
  <c r="G40" i="69"/>
  <c r="G38" i="69"/>
  <c r="G36" i="69"/>
  <c r="G34" i="69"/>
  <c r="G32" i="69"/>
  <c r="G30" i="69"/>
  <c r="G28" i="69"/>
  <c r="G26" i="69"/>
  <c r="G24" i="69"/>
  <c r="G22" i="69"/>
  <c r="G20" i="69"/>
  <c r="G18" i="69"/>
  <c r="G16" i="69"/>
  <c r="G14" i="69"/>
  <c r="G12" i="69"/>
  <c r="G10" i="69"/>
  <c r="G8" i="69"/>
  <c r="G6" i="69"/>
  <c r="G4" i="69"/>
  <c r="G96" i="69"/>
  <c r="G90" i="69"/>
  <c r="G86" i="69"/>
  <c r="G80" i="69"/>
  <c r="G72" i="69"/>
  <c r="G101" i="69"/>
  <c r="G99" i="69"/>
  <c r="G97" i="69"/>
  <c r="G95" i="69"/>
  <c r="G93" i="69"/>
  <c r="G91" i="69"/>
  <c r="G89" i="69"/>
  <c r="G87" i="69"/>
  <c r="G85" i="69"/>
  <c r="G83" i="69"/>
  <c r="G81" i="69"/>
  <c r="G79" i="69"/>
  <c r="G77" i="69"/>
  <c r="G75" i="69"/>
  <c r="G73" i="69"/>
  <c r="G71" i="69"/>
  <c r="G69" i="69"/>
  <c r="G67" i="69"/>
  <c r="G65" i="69"/>
  <c r="G63" i="69"/>
  <c r="G61" i="69"/>
  <c r="G59" i="69"/>
  <c r="G57" i="69"/>
  <c r="G55" i="69"/>
  <c r="G53" i="69"/>
  <c r="G51" i="69"/>
  <c r="G49" i="69"/>
  <c r="G47" i="69"/>
  <c r="G45" i="69"/>
  <c r="G43" i="69"/>
  <c r="G41" i="69"/>
  <c r="G39" i="69"/>
  <c r="G37" i="69"/>
  <c r="G35" i="69"/>
  <c r="G33" i="69"/>
  <c r="G31" i="69"/>
  <c r="G29" i="69"/>
  <c r="G27" i="69"/>
  <c r="G25" i="69"/>
  <c r="G23" i="69"/>
  <c r="G21" i="69"/>
  <c r="G19" i="69"/>
  <c r="G17" i="69"/>
  <c r="G15" i="69"/>
  <c r="G13" i="69"/>
  <c r="G11" i="69"/>
  <c r="G9" i="69"/>
  <c r="G7" i="69"/>
  <c r="G5" i="69"/>
  <c r="G3" i="69"/>
  <c r="E2" i="60"/>
  <c r="F163" i="60" a="1"/>
  <c r="F160" i="60" a="1"/>
  <c r="F127" i="60" a="1"/>
  <c r="F105" i="60" a="1"/>
  <c r="F85" i="60" a="1"/>
  <c r="F65" i="60" a="1"/>
  <c r="F45" i="60" a="1"/>
  <c r="F25" i="60" a="1"/>
  <c r="F9" i="60" a="1"/>
  <c r="F149" i="60" a="1"/>
  <c r="F224" i="60" a="1"/>
  <c r="F128" i="60" a="1"/>
  <c r="F116" i="60" a="1"/>
  <c r="F96" i="60" a="1"/>
  <c r="F72" i="60" a="1"/>
  <c r="F40" i="60" a="1"/>
  <c r="F20" i="60" a="1"/>
  <c r="F145" i="60" a="1"/>
  <c r="F227" i="60" a="1"/>
  <c r="F126" i="60" a="1"/>
  <c r="F107" i="60" a="1"/>
  <c r="F87" i="60" a="1"/>
  <c r="F71" i="60" a="1"/>
  <c r="F47" i="60" a="1"/>
  <c r="F19" i="60" a="1"/>
  <c r="F131" i="60" a="1"/>
  <c r="F154" i="60" a="1"/>
  <c r="F118" i="60" a="1"/>
  <c r="F98" i="60" a="1"/>
  <c r="F74" i="60" a="1"/>
  <c r="F50" i="60" a="1"/>
  <c r="F34" i="60" a="1"/>
  <c r="F10" i="60" a="1"/>
  <c r="F144" i="68" a="1"/>
  <c r="F130" i="68" a="1"/>
  <c r="F59" i="68" a="1"/>
  <c r="F226" i="68" a="1"/>
  <c r="F198" i="68" a="1"/>
  <c r="F179" i="68" a="1"/>
  <c r="F125" i="68" a="1"/>
  <c r="F100" i="68" a="1"/>
  <c r="F56" i="68" a="1"/>
  <c r="F77" i="68" a="1"/>
  <c r="F58" i="68" a="1"/>
  <c r="F17" i="68" a="1"/>
  <c r="F231" i="68" a="1"/>
  <c r="F169" i="68" a="1"/>
  <c r="F112" i="68" a="1"/>
  <c r="F229" i="68" a="1"/>
  <c r="F213" i="68" a="1"/>
  <c r="F193" i="68" a="1"/>
  <c r="F159" i="68" a="1"/>
  <c r="F115" i="68" a="1"/>
  <c r="F91" i="68" a="1"/>
  <c r="F32" i="68" a="1"/>
  <c r="F86" i="68" a="1"/>
  <c r="F25" i="68" a="1"/>
  <c r="F232" i="68" a="1"/>
  <c r="F181" i="68" a="1"/>
  <c r="F126" i="68" a="1"/>
  <c r="F146" i="68" a="1"/>
  <c r="F216" i="68" a="1"/>
  <c r="F196" i="68" a="1"/>
  <c r="F171" i="68" a="1"/>
  <c r="F113" i="68" a="1"/>
  <c r="F94" i="68" a="1"/>
  <c r="F48" i="68" a="1"/>
  <c r="F53" i="68" a="1"/>
  <c r="F23" i="68" a="1"/>
  <c r="F7" i="68" a="1"/>
  <c r="F148" i="68" a="1"/>
  <c r="F145" i="68" a="1"/>
  <c r="F108" i="68" a="1"/>
  <c r="F142" i="68" a="1"/>
  <c r="F219" i="68" a="1"/>
  <c r="F199" i="68" a="1"/>
  <c r="F183" i="68" a="1"/>
  <c r="F127" i="68" a="1"/>
  <c r="F101" i="68" a="1"/>
  <c r="F36" i="68" a="1"/>
  <c r="F49" i="68" a="1"/>
  <c r="F29" i="68" a="1"/>
  <c r="F2" i="60" a="1"/>
  <c r="F137" i="60" a="1"/>
  <c r="F147" i="60" a="1"/>
  <c r="F117" i="60" a="1"/>
  <c r="F101" i="60" a="1"/>
  <c r="F81" i="60" a="1"/>
  <c r="F61" i="60" a="1"/>
  <c r="F37" i="60" a="1"/>
  <c r="F21" i="60" a="1"/>
  <c r="F5" i="60" a="1"/>
  <c r="F140" i="60" a="1"/>
  <c r="F158" i="60" a="1"/>
  <c r="F129" i="60" a="1"/>
  <c r="F112" i="60" a="1"/>
  <c r="F92" i="60" a="1"/>
  <c r="F64" i="60" a="1"/>
  <c r="F36" i="60" a="1"/>
  <c r="F12" i="60" a="1"/>
  <c r="F152" i="60" a="1"/>
  <c r="F223" i="60" a="1"/>
  <c r="F134" i="60" a="1"/>
  <c r="F103" i="60" a="1"/>
  <c r="F83" i="60" a="1"/>
  <c r="F59" i="60" a="1"/>
  <c r="F43" i="60" a="1"/>
  <c r="F15" i="60" a="1"/>
  <c r="F230" i="60" a="1"/>
  <c r="F124" i="60" a="1"/>
  <c r="F110" i="60" a="1"/>
  <c r="F94" i="60" a="1"/>
  <c r="F66" i="60" a="1"/>
  <c r="F46" i="60" a="1"/>
  <c r="F30" i="60" a="1"/>
  <c r="F233" i="68" a="1"/>
  <c r="F71" i="68" a="1"/>
  <c r="F122" i="68" a="1"/>
  <c r="F170" i="68" a="1"/>
  <c r="F222" i="68" a="1"/>
  <c r="F194" i="68" a="1"/>
  <c r="F163" i="68" a="1"/>
  <c r="F117" i="68" a="1"/>
  <c r="F96" i="68" a="1"/>
  <c r="F42" i="68" a="1"/>
  <c r="F61" i="68" a="1"/>
  <c r="F43" i="68" a="1"/>
  <c r="F13" i="68" a="1"/>
  <c r="F172" i="68" a="1"/>
  <c r="F153" i="68" a="1"/>
  <c r="F182" i="68" a="1"/>
  <c r="F225" i="68" a="1"/>
  <c r="F209" i="68" a="1"/>
  <c r="F189" i="68" a="1"/>
  <c r="F143" i="68" a="1"/>
  <c r="F107" i="68" a="1"/>
  <c r="F84" i="68" a="1"/>
  <c r="F24" i="68" a="1"/>
  <c r="F70" i="68" a="1"/>
  <c r="F20" i="68" a="1"/>
  <c r="F168" i="68" a="1"/>
  <c r="F165" i="68" a="1"/>
  <c r="F118" i="68" a="1"/>
  <c r="F63" i="68" a="1"/>
  <c r="F212" i="68" a="1"/>
  <c r="F192" i="68" a="1"/>
  <c r="F155" i="68" a="1"/>
  <c r="F105" i="68" a="1"/>
  <c r="F90" i="68" a="1"/>
  <c r="F38" i="68" a="1"/>
  <c r="F66" i="68" a="1"/>
  <c r="F19" i="68" a="1"/>
  <c r="F3" i="68" a="1"/>
  <c r="F87" i="68" a="1"/>
  <c r="F132" i="68" a="1"/>
  <c r="F75" i="68" a="1"/>
  <c r="F47" i="68" a="1"/>
  <c r="F215" i="68" a="1"/>
  <c r="F195" i="68" a="1"/>
  <c r="F167" i="68" a="1"/>
  <c r="F119" i="68" a="1"/>
  <c r="F97" i="68" a="1"/>
  <c r="F28" i="68" a="1"/>
  <c r="F62" i="68" a="1"/>
  <c r="F18" i="68" a="1"/>
  <c r="F144" i="60" a="1"/>
  <c r="F132" i="60" a="1"/>
  <c r="F113" i="60" a="1"/>
  <c r="F97" i="60" a="1"/>
  <c r="F77" i="60" a="1"/>
  <c r="F57" i="60" a="1"/>
  <c r="F33" i="60" a="1"/>
  <c r="F17" i="60" a="1"/>
  <c r="F189" i="60" a="1"/>
  <c r="F232" i="60" a="1"/>
  <c r="F143" i="60" a="1"/>
  <c r="F125" i="60" a="1"/>
  <c r="F108" i="60" a="1"/>
  <c r="F84" i="60" a="1"/>
  <c r="F52" i="60" a="1"/>
  <c r="F32" i="60" a="1"/>
  <c r="F175" i="60" a="1"/>
  <c r="F136" i="60" a="1"/>
  <c r="F199" i="60" a="1"/>
  <c r="F123" i="60" a="1"/>
  <c r="F99" i="60" a="1"/>
  <c r="F79" i="60" a="1"/>
  <c r="F55" i="60" a="1"/>
  <c r="F35" i="60" a="1"/>
  <c r="F11" i="60" a="1"/>
  <c r="F226" i="60" a="1"/>
  <c r="F130" i="60" a="1"/>
  <c r="F106" i="60" a="1"/>
  <c r="F90" i="60" a="1"/>
  <c r="F62" i="60" a="1"/>
  <c r="F42" i="60" a="1"/>
  <c r="F18" i="60" a="1"/>
  <c r="F176" i="68" a="1"/>
  <c r="F173" i="68" a="1"/>
  <c r="F114" i="68" a="1"/>
  <c r="F154" i="68" a="1"/>
  <c r="F214" i="68" a="1"/>
  <c r="F190" i="68" a="1"/>
  <c r="F147" i="68" a="1"/>
  <c r="F109" i="68" a="1"/>
  <c r="F92" i="68" a="1"/>
  <c r="F34" i="68" a="1"/>
  <c r="F45" i="68" a="1"/>
  <c r="F35" i="68" a="1"/>
  <c r="F9" i="68" a="1"/>
  <c r="F140" i="68" a="1"/>
  <c r="F128" i="68" a="1"/>
  <c r="F166" i="68" a="1"/>
  <c r="F221" i="68" a="1"/>
  <c r="F205" i="68" a="1"/>
  <c r="F185" i="68" a="1"/>
  <c r="F131" i="68" a="1"/>
  <c r="F67" i="68" a="1"/>
  <c r="F52" i="68" a="1"/>
  <c r="F73" i="68" a="1"/>
  <c r="F54" i="68" a="1"/>
  <c r="F16" i="68" a="1"/>
  <c r="F152" i="68" a="1"/>
  <c r="F149" i="68" a="1"/>
  <c r="F110" i="68" a="1"/>
  <c r="F228" i="68" a="1"/>
  <c r="F208" i="68" a="1"/>
  <c r="F188" i="68" a="1"/>
  <c r="F129" i="68" a="1"/>
  <c r="F51" i="68" a="1"/>
  <c r="F80" i="68" a="1"/>
  <c r="F30" i="68" a="1"/>
  <c r="F50" i="68" a="1"/>
  <c r="F15" i="68" a="1"/>
  <c r="F180" i="68" a="1"/>
  <c r="F177" i="68" a="1"/>
  <c r="F124" i="68" a="1"/>
  <c r="F174" i="68" a="1"/>
  <c r="F227" i="68" a="1"/>
  <c r="F211" i="68" a="1"/>
  <c r="F191" i="68" a="1"/>
  <c r="F151" i="68" a="1"/>
  <c r="F111" i="68" a="1"/>
  <c r="F93" i="68" a="1"/>
  <c r="F81" i="68" a="1"/>
  <c r="F46" i="68" a="1"/>
  <c r="F14" i="68" a="1"/>
  <c r="F229" i="60" a="1"/>
  <c r="F133" i="60" a="1"/>
  <c r="F109" i="60" a="1"/>
  <c r="F93" i="60" a="1"/>
  <c r="F73" i="60" a="1"/>
  <c r="F49" i="60" a="1"/>
  <c r="F29" i="60" a="1"/>
  <c r="F13" i="60" a="1"/>
  <c r="F161" i="60" a="1"/>
  <c r="F228" i="60" a="1"/>
  <c r="F146" i="60" a="1"/>
  <c r="F120" i="60" a="1"/>
  <c r="F100" i="60" a="1"/>
  <c r="F80" i="60" a="1"/>
  <c r="F48" i="60" a="1"/>
  <c r="F28" i="60" a="1"/>
  <c r="F159" i="60" a="1"/>
  <c r="F231" i="60" a="1"/>
  <c r="F142" i="60" a="1"/>
  <c r="F111" i="60" a="1"/>
  <c r="F91" i="60" a="1"/>
  <c r="F75" i="60" a="1"/>
  <c r="F51" i="60" a="1"/>
  <c r="F31" i="60" a="1"/>
  <c r="F141" i="60" a="1"/>
  <c r="F135" i="60" a="1"/>
  <c r="F122" i="60" a="1"/>
  <c r="F102" i="60" a="1"/>
  <c r="F86" i="60" a="1"/>
  <c r="F58" i="60" a="1"/>
  <c r="F38" i="60" a="1"/>
  <c r="F14" i="60" a="1"/>
  <c r="F160" i="68" a="1"/>
  <c r="F141" i="68" a="1"/>
  <c r="F106" i="68" a="1"/>
  <c r="F230" i="68" a="1"/>
  <c r="F210" i="68" a="1"/>
  <c r="F186" i="68" a="1"/>
  <c r="F133" i="68" a="1"/>
  <c r="F83" i="68" a="1"/>
  <c r="F72" i="68" a="1"/>
  <c r="F26" i="68" a="1"/>
  <c r="F74" i="68" a="1"/>
  <c r="F21" i="68" a="1"/>
  <c r="F5" i="68" a="1"/>
  <c r="F55" i="68" a="1"/>
  <c r="F120" i="68" a="1"/>
  <c r="F79" i="68" a="1"/>
  <c r="F217" i="68" a="1"/>
  <c r="F201" i="68" a="1"/>
  <c r="F175" i="68" a="1"/>
  <c r="F123" i="68" a="1"/>
  <c r="F99" i="68" a="1"/>
  <c r="F40" i="68" a="1"/>
  <c r="F57" i="68" a="1"/>
  <c r="F33" i="68" a="1"/>
  <c r="F12" i="68" a="1"/>
  <c r="F136" i="68" a="1"/>
  <c r="F134" i="68" a="1"/>
  <c r="F102" i="68" a="1"/>
  <c r="F224" i="68" a="1"/>
  <c r="F204" i="68" a="1"/>
  <c r="F184" i="68" a="1"/>
  <c r="F121" i="68" a="1"/>
  <c r="F98" i="68" a="1"/>
  <c r="F64" i="68" a="1"/>
  <c r="F85" i="68" a="1"/>
  <c r="F31" i="68" a="1"/>
  <c r="F11" i="68" a="1"/>
  <c r="F164" i="68" a="1"/>
  <c r="F161" i="68" a="1"/>
  <c r="F116" i="68" a="1"/>
  <c r="F158" i="68" a="1"/>
  <c r="F223" i="68" a="1"/>
  <c r="F203" i="68" a="1"/>
  <c r="F187" i="68" a="1"/>
  <c r="F135" i="68" a="1"/>
  <c r="F103" i="68" a="1"/>
  <c r="F76" i="68" a="1"/>
  <c r="F65" i="68" a="1"/>
  <c r="F37" i="68" a="1"/>
  <c r="F10" i="68" a="1"/>
  <c r="C152" i="68" a="1"/>
  <c r="C136" i="68" a="1"/>
  <c r="C127" i="68" a="1"/>
  <c r="C119" i="68" a="1"/>
  <c r="C111" i="68" a="1"/>
  <c r="C103" i="68" a="1"/>
  <c r="C95" i="68" a="1"/>
  <c r="C86" i="68" a="1"/>
  <c r="C70" i="68" a="1"/>
  <c r="C141" i="68" a="1"/>
  <c r="C146" i="68" a="1"/>
  <c r="C132" i="68" a="1"/>
  <c r="C124" i="68" a="1"/>
  <c r="C116" i="68" a="1"/>
  <c r="C108" i="68" a="1"/>
  <c r="C100" i="68" a="1"/>
  <c r="C92" i="68" a="1"/>
  <c r="C80" i="68" a="1"/>
  <c r="C233" i="68" a="1"/>
  <c r="C229" i="68" a="1"/>
  <c r="C225" i="68" a="1"/>
  <c r="C221" i="68" a="1"/>
  <c r="C217" i="68" a="1"/>
  <c r="C213" i="68" a="1"/>
  <c r="C209" i="68" a="1"/>
  <c r="C205" i="68" a="1"/>
  <c r="C201" i="68" a="1"/>
  <c r="C197" i="68" a="1"/>
  <c r="C193" i="68" a="1"/>
  <c r="C189" i="68" a="1"/>
  <c r="C185" i="68" a="1"/>
  <c r="C181" i="68" a="1"/>
  <c r="C177" i="68" a="1"/>
  <c r="C173" i="68" a="1"/>
  <c r="C169" i="68" a="1"/>
  <c r="C165" i="68" a="1"/>
  <c r="C161" i="68" a="1"/>
  <c r="C157" i="68" a="1"/>
  <c r="C147" i="68" a="1"/>
  <c r="C66" i="68" a="1"/>
  <c r="C58" i="68" a="1"/>
  <c r="C55" i="68" a="1"/>
  <c r="C85" i="68" a="1"/>
  <c r="C77" i="68" a="1"/>
  <c r="C61" i="68" a="1"/>
  <c r="C50" i="68" a="1"/>
  <c r="C45" i="68" a="1"/>
  <c r="C41" i="68" a="1"/>
  <c r="C37" i="68" a="1"/>
  <c r="C33" i="68" a="1"/>
  <c r="C29" i="68" a="1"/>
  <c r="C25" i="68" a="1"/>
  <c r="C21" i="68" a="1"/>
  <c r="C17" i="68" a="1"/>
  <c r="C13" i="68" a="1"/>
  <c r="C9" i="68" a="1"/>
  <c r="C5" i="68" a="1"/>
  <c r="C140" i="68" a="1"/>
  <c r="C113" i="68" a="1"/>
  <c r="C105" i="68" a="1"/>
  <c r="C74" i="68" a="1"/>
  <c r="C145" i="68" a="1"/>
  <c r="C126" i="68" a="1"/>
  <c r="C110" i="68" a="1"/>
  <c r="C94" i="68" a="1"/>
  <c r="C230" i="68" a="1"/>
  <c r="C222" i="68" a="1"/>
  <c r="C210" i="68" a="1"/>
  <c r="C202" i="68" a="1"/>
  <c r="C194" i="68" a="1"/>
  <c r="C182" i="68" a="1"/>
  <c r="C174" i="68" a="1"/>
  <c r="C162" i="68" a="1"/>
  <c r="C135" i="68" a="1"/>
  <c r="C87" i="68" a="1"/>
  <c r="C71" i="68" a="1"/>
  <c r="C54" i="68" a="1"/>
  <c r="C38" i="68" a="1"/>
  <c r="C26" i="68" a="1"/>
  <c r="C18" i="68" a="1"/>
  <c r="C10" i="68" a="1"/>
  <c r="C148" i="68" a="1"/>
  <c r="C133" i="68" a="1"/>
  <c r="C125" i="68" a="1"/>
  <c r="C117" i="68" a="1"/>
  <c r="C109" i="68" a="1"/>
  <c r="C101" i="68" a="1"/>
  <c r="C93" i="68" a="1"/>
  <c r="C82" i="68" a="1"/>
  <c r="C153" i="68" a="1"/>
  <c r="C137" i="68" a="1"/>
  <c r="C142" i="68" a="1"/>
  <c r="C130" i="68" a="1"/>
  <c r="C122" i="68" a="1"/>
  <c r="C114" i="68" a="1"/>
  <c r="C106" i="68" a="1"/>
  <c r="C98" i="68" a="1"/>
  <c r="C90" i="68" a="1"/>
  <c r="C76" i="68" a="1"/>
  <c r="C232" i="68" a="1"/>
  <c r="C228" i="68" a="1"/>
  <c r="C224" i="68" a="1"/>
  <c r="C220" i="68" a="1"/>
  <c r="C216" i="68" a="1"/>
  <c r="C212" i="68" a="1"/>
  <c r="C208" i="68" a="1"/>
  <c r="C204" i="68" a="1"/>
  <c r="C196" i="68" a="1"/>
  <c r="C192" i="68" a="1"/>
  <c r="C188" i="68" a="1"/>
  <c r="C184" i="68" a="1"/>
  <c r="C180" i="68" a="1"/>
  <c r="C176" i="68" a="1"/>
  <c r="C172" i="68" a="1"/>
  <c r="C168" i="68" a="1"/>
  <c r="C164" i="68" a="1"/>
  <c r="C160" i="68" a="1"/>
  <c r="C156" i="68" a="1"/>
  <c r="C143" i="68" a="1"/>
  <c r="C64" i="68" a="1"/>
  <c r="C56" i="68" a="1"/>
  <c r="C51" i="68" a="1"/>
  <c r="C83" i="68" a="1"/>
  <c r="C75" i="68" a="1"/>
  <c r="C67" i="68" a="1"/>
  <c r="C59" i="68" a="1"/>
  <c r="C46" i="68" a="1"/>
  <c r="C44" i="68" a="1"/>
  <c r="C40" i="68" a="1"/>
  <c r="C36" i="68" a="1"/>
  <c r="C32" i="68" a="1"/>
  <c r="C28" i="68" a="1"/>
  <c r="C24" i="68" a="1"/>
  <c r="C20" i="68" a="1"/>
  <c r="C16" i="68" a="1"/>
  <c r="C12" i="68" a="1"/>
  <c r="C4" i="68" a="1"/>
  <c r="C121" i="68" a="1"/>
  <c r="C89" i="68" a="1"/>
  <c r="C102" i="68" a="1"/>
  <c r="C218" i="68" a="1"/>
  <c r="C198" i="68" a="1"/>
  <c r="C186" i="68" a="1"/>
  <c r="C170" i="68" a="1"/>
  <c r="C158" i="68" a="1"/>
  <c r="C60" i="68" a="1"/>
  <c r="C79" i="68" a="1"/>
  <c r="C49" i="68" a="1"/>
  <c r="C34" i="68" a="1"/>
  <c r="C144" i="68" a="1"/>
  <c r="C131" i="68" a="1"/>
  <c r="C123" i="68" a="1"/>
  <c r="C115" i="68" a="1"/>
  <c r="C107" i="68" a="1"/>
  <c r="C99" i="68" a="1"/>
  <c r="C91" i="68" a="1"/>
  <c r="C78" i="68" a="1"/>
  <c r="C149" i="68" a="1"/>
  <c r="C154" i="68" a="1"/>
  <c r="C128" i="68" a="1"/>
  <c r="C120" i="68" a="1"/>
  <c r="C112" i="68" a="1"/>
  <c r="C96" i="68" a="1"/>
  <c r="C72" i="68" a="1"/>
  <c r="C231" i="68" a="1"/>
  <c r="C227" i="68" a="1"/>
  <c r="C223" i="68" a="1"/>
  <c r="C219" i="68" a="1"/>
  <c r="C215" i="68" a="1"/>
  <c r="C211" i="68" a="1"/>
  <c r="C207" i="68" a="1"/>
  <c r="C203" i="68" a="1"/>
  <c r="C199" i="68" a="1"/>
  <c r="C195" i="68" a="1"/>
  <c r="C191" i="68" a="1"/>
  <c r="C187" i="68" a="1"/>
  <c r="C183" i="68" a="1"/>
  <c r="C179" i="68" a="1"/>
  <c r="C175" i="68" a="1"/>
  <c r="C171" i="68" a="1"/>
  <c r="C167" i="68" a="1"/>
  <c r="C163" i="68" a="1"/>
  <c r="C159" i="68" a="1"/>
  <c r="C155" i="68" a="1"/>
  <c r="C139" i="68" a="1"/>
  <c r="C62" i="68" a="1"/>
  <c r="C52" i="68" a="1"/>
  <c r="C47" i="68" a="1"/>
  <c r="C81" i="68" a="1"/>
  <c r="C73" i="68" a="1"/>
  <c r="C65" i="68" a="1"/>
  <c r="C57" i="68" a="1"/>
  <c r="C53" i="68" a="1"/>
  <c r="C43" i="68" a="1"/>
  <c r="C39" i="68" a="1"/>
  <c r="C35" i="68" a="1"/>
  <c r="C31" i="68" a="1"/>
  <c r="C27" i="68" a="1"/>
  <c r="C23" i="68" a="1"/>
  <c r="C19" i="68" a="1"/>
  <c r="C15" i="68" a="1"/>
  <c r="C11" i="68" a="1"/>
  <c r="C7" i="68" a="1"/>
  <c r="C3" i="68" a="1"/>
  <c r="C129" i="68" a="1"/>
  <c r="C97" i="68" a="1"/>
  <c r="C134" i="68" a="1"/>
  <c r="C118" i="68" a="1"/>
  <c r="C84" i="68" a="1"/>
  <c r="C226" i="68" a="1"/>
  <c r="C214" i="68" a="1"/>
  <c r="C206" i="68" a="1"/>
  <c r="C190" i="68" a="1"/>
  <c r="C178" i="68" a="1"/>
  <c r="C166" i="68" a="1"/>
  <c r="C151" i="68" a="1"/>
  <c r="C48" i="68" a="1"/>
  <c r="C63" i="68" a="1"/>
  <c r="C42" i="68" a="1"/>
  <c r="C30" i="68" a="1"/>
  <c r="C14" i="68" a="1"/>
  <c r="C232" i="60" a="1"/>
  <c r="C228" i="60" a="1"/>
  <c r="C224" i="60" a="1"/>
  <c r="C220" i="60" a="1"/>
  <c r="C204" i="60" a="1"/>
  <c r="C70" i="60" a="1"/>
  <c r="C163" i="60" a="1"/>
  <c r="C159" i="60" a="1"/>
  <c r="C155" i="60" a="1"/>
  <c r="C151" i="60" a="1"/>
  <c r="C147" i="60" a="1"/>
  <c r="C143" i="60" a="1"/>
  <c r="C136" i="60" a="1"/>
  <c r="C128" i="60" a="1"/>
  <c r="C120" i="60" a="1"/>
  <c r="C112" i="60" a="1"/>
  <c r="C58" i="60" a="1"/>
  <c r="C141" i="60" a="1"/>
  <c r="C133" i="60" a="1"/>
  <c r="C125" i="60" a="1"/>
  <c r="C117" i="60" a="1"/>
  <c r="C109" i="60" a="1"/>
  <c r="C101" i="60" a="1"/>
  <c r="C55" i="60" a="1"/>
  <c r="C98" i="60" a="1"/>
  <c r="C94" i="60" a="1"/>
  <c r="C90" i="60" a="1"/>
  <c r="C80" i="60" a="1"/>
  <c r="C64" i="60" a="1"/>
  <c r="C52" i="60" a="1"/>
  <c r="C37" i="60" a="1"/>
  <c r="C21" i="60" a="1"/>
  <c r="C81" i="60" a="1"/>
  <c r="C65" i="60" a="1"/>
  <c r="C44" i="60" a="1"/>
  <c r="C28" i="60" a="1"/>
  <c r="C12" i="60" a="1"/>
  <c r="C75" i="60" a="1"/>
  <c r="C59" i="60" a="1"/>
  <c r="C38" i="60" a="1"/>
  <c r="C9" i="60" a="1"/>
  <c r="C5" i="60" a="1"/>
  <c r="C177" i="60" a="1"/>
  <c r="C181" i="60" a="1"/>
  <c r="C175" i="60" a="1"/>
  <c r="C231" i="60" a="1"/>
  <c r="C227" i="60" a="1"/>
  <c r="C223" i="60" a="1"/>
  <c r="C219" i="60" a="1"/>
  <c r="C199" i="60" a="1"/>
  <c r="C62" i="60" a="1"/>
  <c r="C162" i="60" a="1"/>
  <c r="C158" i="60" a="1"/>
  <c r="C154" i="60" a="1"/>
  <c r="C146" i="60" a="1"/>
  <c r="C142" i="60" a="1"/>
  <c r="C134" i="60" a="1"/>
  <c r="C126" i="60" a="1"/>
  <c r="C118" i="60" a="1"/>
  <c r="C110" i="60" a="1"/>
  <c r="C102" i="60" a="1"/>
  <c r="C51" i="60" a="1"/>
  <c r="C139" i="60" a="1"/>
  <c r="C131" i="60" a="1"/>
  <c r="C123" i="60" a="1"/>
  <c r="C107" i="60" a="1"/>
  <c r="C99" i="60" a="1"/>
  <c r="C43" i="60" a="1"/>
  <c r="C97" i="60" a="1"/>
  <c r="C93" i="60" a="1"/>
  <c r="C89" i="60" a="1"/>
  <c r="C76" i="60" a="1"/>
  <c r="C60" i="60" a="1"/>
  <c r="C49" i="60" a="1"/>
  <c r="C33" i="60" a="1"/>
  <c r="C17" i="60" a="1"/>
  <c r="C77" i="60" a="1"/>
  <c r="C61" i="60" a="1"/>
  <c r="C40" i="60" a="1"/>
  <c r="C24" i="60" a="1"/>
  <c r="C87" i="60" a="1"/>
  <c r="C71" i="60" a="1"/>
  <c r="C50" i="60" a="1"/>
  <c r="C34" i="60" a="1"/>
  <c r="C18" i="60" a="1"/>
  <c r="C47" i="60" a="1"/>
  <c r="C31" i="60" a="1"/>
  <c r="C230" i="60" a="1"/>
  <c r="C226" i="60" a="1"/>
  <c r="C210" i="60" a="1"/>
  <c r="C202" i="60" a="1"/>
  <c r="C15" i="60" a="1"/>
  <c r="C161" i="60" a="1"/>
  <c r="C149" i="60" a="1"/>
  <c r="C145" i="60" a="1"/>
  <c r="C140" i="60" a="1"/>
  <c r="C132" i="60" a="1"/>
  <c r="C124" i="60" a="1"/>
  <c r="C116" i="60" a="1"/>
  <c r="C108" i="60" a="1"/>
  <c r="C100" i="60" a="1"/>
  <c r="C35" i="60" a="1"/>
  <c r="C137" i="60" a="1"/>
  <c r="C129" i="60" a="1"/>
  <c r="C121" i="60" a="1"/>
  <c r="C113" i="60" a="1"/>
  <c r="C105" i="60" a="1"/>
  <c r="C27" i="60" a="1"/>
  <c r="C96" i="60" a="1"/>
  <c r="C92" i="60" a="1"/>
  <c r="C72" i="60" a="1"/>
  <c r="C45" i="60" a="1"/>
  <c r="C29" i="60" a="1"/>
  <c r="C13" i="60" a="1"/>
  <c r="C73" i="60" a="1"/>
  <c r="C57" i="60" a="1"/>
  <c r="C36" i="60" a="1"/>
  <c r="C83" i="60" a="1"/>
  <c r="C67" i="60" a="1"/>
  <c r="C46" i="60" a="1"/>
  <c r="C30" i="60" a="1"/>
  <c r="C14" i="60" a="1"/>
  <c r="C3" i="60" a="1"/>
  <c r="C78" i="60" a="1"/>
  <c r="C229" i="60" a="1"/>
  <c r="C221" i="60" a="1"/>
  <c r="C86" i="60" a="1"/>
  <c r="C23" i="60" a="1"/>
  <c r="C160" i="60" a="1"/>
  <c r="C152" i="60" a="1"/>
  <c r="C148" i="60" a="1"/>
  <c r="C144" i="60" a="1"/>
  <c r="C130" i="60" a="1"/>
  <c r="C122" i="60" a="1"/>
  <c r="C106" i="60" a="1"/>
  <c r="C74" i="60" a="1"/>
  <c r="C19" i="60" a="1"/>
  <c r="C135" i="60" a="1"/>
  <c r="C127" i="60" a="1"/>
  <c r="C111" i="60" a="1"/>
  <c r="C103" i="60" a="1"/>
  <c r="C66" i="60" a="1"/>
  <c r="C11" i="60" a="1"/>
  <c r="C95" i="60" a="1"/>
  <c r="C91" i="60" a="1"/>
  <c r="C84" i="60" a="1"/>
  <c r="C41" i="60" a="1"/>
  <c r="C25" i="60" a="1"/>
  <c r="C85" i="60" a="1"/>
  <c r="C69" i="60" a="1"/>
  <c r="C48" i="60" a="1"/>
  <c r="C32" i="60" a="1"/>
  <c r="C79" i="60" a="1"/>
  <c r="C63" i="60" a="1"/>
  <c r="C42" i="60" a="1"/>
  <c r="C26" i="60" a="1"/>
  <c r="C10" i="60" a="1"/>
  <c r="C14" i="68" l="1"/>
  <c r="C30" i="68"/>
  <c r="C42" i="68"/>
  <c r="C63" i="68"/>
  <c r="C48" i="68"/>
  <c r="C151" i="68"/>
  <c r="C166" i="68"/>
  <c r="C178" i="68"/>
  <c r="C190" i="68"/>
  <c r="C206" i="68"/>
  <c r="C214" i="68"/>
  <c r="C226" i="68"/>
  <c r="C84" i="68"/>
  <c r="C118" i="68"/>
  <c r="C134" i="68"/>
  <c r="C97" i="68"/>
  <c r="C129" i="68"/>
  <c r="C3" i="68"/>
  <c r="C7" i="68"/>
  <c r="C11" i="68"/>
  <c r="C15" i="68"/>
  <c r="C19" i="68"/>
  <c r="C23" i="68"/>
  <c r="C27" i="68"/>
  <c r="C31" i="68"/>
  <c r="C35" i="68"/>
  <c r="C39" i="68"/>
  <c r="C43" i="68"/>
  <c r="C53" i="68"/>
  <c r="C57" i="68"/>
  <c r="C65" i="68"/>
  <c r="C73" i="68"/>
  <c r="C81" i="68"/>
  <c r="C47" i="68"/>
  <c r="C52" i="68"/>
  <c r="C62" i="68"/>
  <c r="C139" i="68"/>
  <c r="C155" i="68"/>
  <c r="C159" i="68"/>
  <c r="C163" i="68"/>
  <c r="C167" i="68"/>
  <c r="C171" i="68"/>
  <c r="C175" i="68"/>
  <c r="C179" i="68"/>
  <c r="C183" i="68"/>
  <c r="C187" i="68"/>
  <c r="C191" i="68"/>
  <c r="C195" i="68"/>
  <c r="C199" i="68"/>
  <c r="C203" i="68"/>
  <c r="C207" i="68"/>
  <c r="C211" i="68"/>
  <c r="C215" i="68"/>
  <c r="C219" i="68"/>
  <c r="C223" i="68"/>
  <c r="C227" i="68"/>
  <c r="C231" i="68"/>
  <c r="C72" i="68"/>
  <c r="C96" i="68"/>
  <c r="C112" i="68"/>
  <c r="C120" i="68"/>
  <c r="C128" i="68"/>
  <c r="C154" i="68"/>
  <c r="C149" i="68"/>
  <c r="C78" i="68"/>
  <c r="C91" i="68"/>
  <c r="C99" i="68"/>
  <c r="C107" i="68"/>
  <c r="C115" i="68"/>
  <c r="C123" i="68"/>
  <c r="C131" i="68"/>
  <c r="C144" i="68"/>
  <c r="C34" i="68"/>
  <c r="C49" i="68"/>
  <c r="C79" i="68"/>
  <c r="C60" i="68"/>
  <c r="C158" i="68"/>
  <c r="C170" i="68"/>
  <c r="C186" i="68"/>
  <c r="C198" i="68"/>
  <c r="C218" i="68"/>
  <c r="C102" i="68"/>
  <c r="C89" i="68"/>
  <c r="C121" i="68"/>
  <c r="C4" i="68"/>
  <c r="C12" i="68"/>
  <c r="C16" i="68"/>
  <c r="C20" i="68"/>
  <c r="C24" i="68"/>
  <c r="C28" i="68"/>
  <c r="C32" i="68"/>
  <c r="C36" i="68"/>
  <c r="C40" i="68"/>
  <c r="C44" i="68"/>
  <c r="C46" i="68"/>
  <c r="C59" i="68"/>
  <c r="C67" i="68"/>
  <c r="C75" i="68"/>
  <c r="C83" i="68"/>
  <c r="C51" i="68"/>
  <c r="C56" i="68"/>
  <c r="C64" i="68"/>
  <c r="C143" i="68"/>
  <c r="C156" i="68"/>
  <c r="C160" i="68"/>
  <c r="C164" i="68"/>
  <c r="C168" i="68"/>
  <c r="C172" i="68"/>
  <c r="C176" i="68"/>
  <c r="C180" i="68"/>
  <c r="C184" i="68"/>
  <c r="C188" i="68"/>
  <c r="C192" i="68"/>
  <c r="C196" i="68"/>
  <c r="C204" i="68"/>
  <c r="C208" i="68"/>
  <c r="C212" i="68"/>
  <c r="C216" i="68"/>
  <c r="C220" i="68"/>
  <c r="C224" i="68"/>
  <c r="C228" i="68"/>
  <c r="C232" i="68"/>
  <c r="C76" i="68"/>
  <c r="C90" i="68"/>
  <c r="C98" i="68"/>
  <c r="C106" i="68"/>
  <c r="C114" i="68"/>
  <c r="C122" i="68"/>
  <c r="C130" i="68"/>
  <c r="C142" i="68"/>
  <c r="C137" i="68"/>
  <c r="C153" i="68"/>
  <c r="C82" i="68"/>
  <c r="C93" i="68"/>
  <c r="C101" i="68"/>
  <c r="C109" i="68"/>
  <c r="C117" i="68"/>
  <c r="C125" i="68"/>
  <c r="C133" i="68"/>
  <c r="C148" i="68"/>
  <c r="C10" i="68"/>
  <c r="C18" i="68"/>
  <c r="C26" i="68"/>
  <c r="C38" i="68"/>
  <c r="C54" i="68"/>
  <c r="C71" i="68"/>
  <c r="C87" i="68"/>
  <c r="C135" i="68"/>
  <c r="C162" i="68"/>
  <c r="C174" i="68"/>
  <c r="C182" i="68"/>
  <c r="C194" i="68"/>
  <c r="C202" i="68"/>
  <c r="C210" i="68"/>
  <c r="C222" i="68"/>
  <c r="C230" i="68"/>
  <c r="C94" i="68"/>
  <c r="C110" i="68"/>
  <c r="C126" i="68"/>
  <c r="C145" i="68"/>
  <c r="C74" i="68"/>
  <c r="C105" i="68"/>
  <c r="C113" i="68"/>
  <c r="C140" i="68"/>
  <c r="C5" i="68"/>
  <c r="C9" i="68"/>
  <c r="C13" i="68"/>
  <c r="C17" i="68"/>
  <c r="C21" i="68"/>
  <c r="C25" i="68"/>
  <c r="C29" i="68"/>
  <c r="C33" i="68"/>
  <c r="C37" i="68"/>
  <c r="C41" i="68"/>
  <c r="C45" i="68"/>
  <c r="C50" i="68"/>
  <c r="C61" i="68"/>
  <c r="C77" i="68"/>
  <c r="C85" i="68"/>
  <c r="C55" i="68"/>
  <c r="C58" i="68"/>
  <c r="C66" i="68"/>
  <c r="C147" i="68"/>
  <c r="C157" i="68"/>
  <c r="C161" i="68"/>
  <c r="C165" i="68"/>
  <c r="C169" i="68"/>
  <c r="C173" i="68"/>
  <c r="C177" i="68"/>
  <c r="C181" i="68"/>
  <c r="C185" i="68"/>
  <c r="C189" i="68"/>
  <c r="C193" i="68"/>
  <c r="C197" i="68"/>
  <c r="C201" i="68"/>
  <c r="C205" i="68"/>
  <c r="C209" i="68"/>
  <c r="C213" i="68"/>
  <c r="C217" i="68"/>
  <c r="C221" i="68"/>
  <c r="C225" i="68"/>
  <c r="C229" i="68"/>
  <c r="C233" i="68"/>
  <c r="C80" i="68"/>
  <c r="C92" i="68"/>
  <c r="C100" i="68"/>
  <c r="C108" i="68"/>
  <c r="C116" i="68"/>
  <c r="C124" i="68"/>
  <c r="C132" i="68"/>
  <c r="C146" i="68"/>
  <c r="C141" i="68"/>
  <c r="C70" i="68"/>
  <c r="C86" i="68"/>
  <c r="C95" i="68"/>
  <c r="C103" i="68"/>
  <c r="C111" i="68"/>
  <c r="C119" i="68"/>
  <c r="C127" i="68"/>
  <c r="C136" i="68"/>
  <c r="C152" i="68"/>
  <c r="C10" i="60"/>
  <c r="C26" i="60"/>
  <c r="C42" i="60"/>
  <c r="C63" i="60"/>
  <c r="C79" i="60"/>
  <c r="C32" i="60"/>
  <c r="C48" i="60"/>
  <c r="C69" i="60"/>
  <c r="C85" i="60"/>
  <c r="C25" i="60"/>
  <c r="C41" i="60"/>
  <c r="C84" i="60"/>
  <c r="C91" i="60"/>
  <c r="C95" i="60"/>
  <c r="C11" i="60"/>
  <c r="C66" i="60"/>
  <c r="C103" i="60"/>
  <c r="C111" i="60"/>
  <c r="C127" i="60"/>
  <c r="C135" i="60"/>
  <c r="C19" i="60"/>
  <c r="C74" i="60"/>
  <c r="C106" i="60"/>
  <c r="C122" i="60"/>
  <c r="C130" i="60"/>
  <c r="C144" i="60"/>
  <c r="C148" i="60"/>
  <c r="C152" i="60"/>
  <c r="C160" i="60"/>
  <c r="C23" i="60"/>
  <c r="C86" i="60"/>
  <c r="C221" i="60"/>
  <c r="C229" i="60"/>
  <c r="C78" i="60"/>
  <c r="C3" i="60"/>
  <c r="C14" i="60"/>
  <c r="C30" i="60"/>
  <c r="C46" i="60"/>
  <c r="C67" i="60"/>
  <c r="C83" i="60"/>
  <c r="C36" i="60"/>
  <c r="C57" i="60"/>
  <c r="C73" i="60"/>
  <c r="C13" i="60"/>
  <c r="C29" i="60"/>
  <c r="C45" i="60"/>
  <c r="C72" i="60"/>
  <c r="C92" i="60"/>
  <c r="C96" i="60"/>
  <c r="C27" i="60"/>
  <c r="C105" i="60"/>
  <c r="C113" i="60"/>
  <c r="C121" i="60"/>
  <c r="C129" i="60"/>
  <c r="C137" i="60"/>
  <c r="C35" i="60"/>
  <c r="C100" i="60"/>
  <c r="C108" i="60"/>
  <c r="C116" i="60"/>
  <c r="C124" i="60"/>
  <c r="C132" i="60"/>
  <c r="C140" i="60"/>
  <c r="C145" i="60"/>
  <c r="C149" i="60"/>
  <c r="C161" i="60"/>
  <c r="C15" i="60"/>
  <c r="C202" i="60"/>
  <c r="C210" i="60"/>
  <c r="C226" i="60"/>
  <c r="C230" i="60"/>
  <c r="C31" i="60"/>
  <c r="C47" i="60"/>
  <c r="C18" i="60"/>
  <c r="C34" i="60"/>
  <c r="C50" i="60"/>
  <c r="C71" i="60"/>
  <c r="C87" i="60"/>
  <c r="C24" i="60"/>
  <c r="C40" i="60"/>
  <c r="C61" i="60"/>
  <c r="C77" i="60"/>
  <c r="C17" i="60"/>
  <c r="C33" i="60"/>
  <c r="C49" i="60"/>
  <c r="C60" i="60"/>
  <c r="C76" i="60"/>
  <c r="C89" i="60"/>
  <c r="C93" i="60"/>
  <c r="C97" i="60"/>
  <c r="C43" i="60"/>
  <c r="C99" i="60"/>
  <c r="C107" i="60"/>
  <c r="C123" i="60"/>
  <c r="C131" i="60"/>
  <c r="C139" i="60"/>
  <c r="C51" i="60"/>
  <c r="C102" i="60"/>
  <c r="C110" i="60"/>
  <c r="C118" i="60"/>
  <c r="C126" i="60"/>
  <c r="C134" i="60"/>
  <c r="C142" i="60"/>
  <c r="C146" i="60"/>
  <c r="C154" i="60"/>
  <c r="C158" i="60"/>
  <c r="C162" i="60"/>
  <c r="C62" i="60"/>
  <c r="C199" i="60"/>
  <c r="C219" i="60"/>
  <c r="C223" i="60"/>
  <c r="C227" i="60"/>
  <c r="C231" i="60"/>
  <c r="C175" i="60"/>
  <c r="C181" i="60"/>
  <c r="C177" i="60"/>
  <c r="C5" i="60"/>
  <c r="C9" i="60"/>
  <c r="C38" i="60"/>
  <c r="C59" i="60"/>
  <c r="C75" i="60"/>
  <c r="C12" i="60"/>
  <c r="C28" i="60"/>
  <c r="C44" i="60"/>
  <c r="C65" i="60"/>
  <c r="C81" i="60"/>
  <c r="C21" i="60"/>
  <c r="C37" i="60"/>
  <c r="C52" i="60"/>
  <c r="C64" i="60"/>
  <c r="C80" i="60"/>
  <c r="C90" i="60"/>
  <c r="C94" i="60"/>
  <c r="C98" i="60"/>
  <c r="C55" i="60"/>
  <c r="C101" i="60"/>
  <c r="C109" i="60"/>
  <c r="C117" i="60"/>
  <c r="C125" i="60"/>
  <c r="C133" i="60"/>
  <c r="C141" i="60"/>
  <c r="C58" i="60"/>
  <c r="C112" i="60"/>
  <c r="C120" i="60"/>
  <c r="C128" i="60"/>
  <c r="C136" i="60"/>
  <c r="C143" i="60"/>
  <c r="C147" i="60"/>
  <c r="C151" i="60"/>
  <c r="C155" i="60"/>
  <c r="C159" i="60"/>
  <c r="C163" i="60"/>
  <c r="C70" i="60"/>
  <c r="C204" i="60"/>
  <c r="C220" i="60"/>
  <c r="C224" i="60"/>
  <c r="C228" i="60"/>
  <c r="C232" i="60"/>
  <c r="F10" i="60"/>
  <c r="F14" i="60"/>
  <c r="F18" i="60"/>
  <c r="F30" i="60"/>
  <c r="F34" i="60"/>
  <c r="F38" i="60"/>
  <c r="F42" i="60"/>
  <c r="F46" i="60"/>
  <c r="F50" i="60"/>
  <c r="F58" i="60"/>
  <c r="F62" i="60"/>
  <c r="F66" i="60"/>
  <c r="F74" i="60"/>
  <c r="F86" i="60"/>
  <c r="F90" i="60"/>
  <c r="F94" i="60"/>
  <c r="F98" i="60"/>
  <c r="F102" i="60"/>
  <c r="F106" i="60"/>
  <c r="F110" i="60"/>
  <c r="F118" i="60"/>
  <c r="F122" i="60"/>
  <c r="F130" i="60"/>
  <c r="F124" i="60"/>
  <c r="F154" i="60"/>
  <c r="F135" i="60"/>
  <c r="F226" i="60"/>
  <c r="F230" i="60"/>
  <c r="F131" i="60"/>
  <c r="F141" i="60"/>
  <c r="F11" i="60"/>
  <c r="F15" i="60"/>
  <c r="F19" i="60"/>
  <c r="F31" i="60"/>
  <c r="F35" i="60"/>
  <c r="F43" i="60"/>
  <c r="F47" i="60"/>
  <c r="F51" i="60"/>
  <c r="F55" i="60"/>
  <c r="F59" i="60"/>
  <c r="F71" i="60"/>
  <c r="F75" i="60"/>
  <c r="F79" i="60"/>
  <c r="F83" i="60"/>
  <c r="F87" i="60"/>
  <c r="F91" i="60"/>
  <c r="F99" i="60"/>
  <c r="F103" i="60"/>
  <c r="F107" i="60"/>
  <c r="F111" i="60"/>
  <c r="F123" i="60"/>
  <c r="F134" i="60"/>
  <c r="F126" i="60"/>
  <c r="F142" i="60"/>
  <c r="F199" i="60"/>
  <c r="F223" i="60"/>
  <c r="F227" i="60"/>
  <c r="F231" i="60"/>
  <c r="F136" i="60"/>
  <c r="F152" i="60"/>
  <c r="F145" i="60"/>
  <c r="F159" i="60"/>
  <c r="F175" i="60"/>
  <c r="F12" i="60"/>
  <c r="F20" i="60"/>
  <c r="F28" i="60"/>
  <c r="F32" i="60"/>
  <c r="F36" i="60"/>
  <c r="F40" i="60"/>
  <c r="F48" i="60"/>
  <c r="F52" i="60"/>
  <c r="F64" i="60"/>
  <c r="F72" i="60"/>
  <c r="F80" i="60"/>
  <c r="F84" i="60"/>
  <c r="F92" i="60"/>
  <c r="F96" i="60"/>
  <c r="F100" i="60"/>
  <c r="F108" i="60"/>
  <c r="F112" i="60"/>
  <c r="F116" i="60"/>
  <c r="F120" i="60"/>
  <c r="F125" i="60"/>
  <c r="F129" i="60"/>
  <c r="F128" i="60"/>
  <c r="F146" i="60"/>
  <c r="F143" i="60"/>
  <c r="F158" i="60"/>
  <c r="F224" i="60"/>
  <c r="F228" i="60"/>
  <c r="F232" i="60"/>
  <c r="F140" i="60"/>
  <c r="F149" i="60"/>
  <c r="F161" i="60"/>
  <c r="F189" i="60"/>
  <c r="F5" i="60"/>
  <c r="F9" i="60"/>
  <c r="F13" i="60"/>
  <c r="F17" i="60"/>
  <c r="F21" i="60"/>
  <c r="F25" i="60"/>
  <c r="F29" i="60"/>
  <c r="F33" i="60"/>
  <c r="F37" i="60"/>
  <c r="F45" i="60"/>
  <c r="F49" i="60"/>
  <c r="F57" i="60"/>
  <c r="F61" i="60"/>
  <c r="F65" i="60"/>
  <c r="F73" i="60"/>
  <c r="F77" i="60"/>
  <c r="F81" i="60"/>
  <c r="F85" i="60"/>
  <c r="F93" i="60"/>
  <c r="F97" i="60"/>
  <c r="F101" i="60"/>
  <c r="F105" i="60"/>
  <c r="F109" i="60"/>
  <c r="F113" i="60"/>
  <c r="F117" i="60"/>
  <c r="F127" i="60"/>
  <c r="F133" i="60"/>
  <c r="F132" i="60"/>
  <c r="F147" i="60"/>
  <c r="F160" i="60"/>
  <c r="F229" i="60"/>
  <c r="F144" i="60"/>
  <c r="F137" i="60"/>
  <c r="F163" i="60"/>
  <c r="F10" i="68"/>
  <c r="F14" i="68"/>
  <c r="F18" i="68"/>
  <c r="F29" i="68"/>
  <c r="F37" i="68"/>
  <c r="F46" i="68"/>
  <c r="F62" i="68"/>
  <c r="F49" i="68"/>
  <c r="F65" i="68"/>
  <c r="F81" i="68"/>
  <c r="F28" i="68"/>
  <c r="F36" i="68"/>
  <c r="F76" i="68"/>
  <c r="F93" i="68"/>
  <c r="F97" i="68"/>
  <c r="F101" i="68"/>
  <c r="F103" i="68"/>
  <c r="F111" i="68"/>
  <c r="F119" i="68"/>
  <c r="F127" i="68"/>
  <c r="F135" i="68"/>
  <c r="F151" i="68"/>
  <c r="F167" i="68"/>
  <c r="F183" i="68"/>
  <c r="F187" i="68"/>
  <c r="F191" i="68"/>
  <c r="F195" i="68"/>
  <c r="F199" i="68"/>
  <c r="F203" i="68"/>
  <c r="F211" i="68"/>
  <c r="F215" i="68"/>
  <c r="F219" i="68"/>
  <c r="F223" i="68"/>
  <c r="F227" i="68"/>
  <c r="F47" i="68"/>
  <c r="F142" i="68"/>
  <c r="F158" i="68"/>
  <c r="F174" i="68"/>
  <c r="F75" i="68"/>
  <c r="F108" i="68"/>
  <c r="F116" i="68"/>
  <c r="F124" i="68"/>
  <c r="F132" i="68"/>
  <c r="F145" i="68"/>
  <c r="F161" i="68"/>
  <c r="F177" i="68"/>
  <c r="F87" i="68"/>
  <c r="F148" i="68"/>
  <c r="F164" i="68"/>
  <c r="F180" i="68"/>
  <c r="F3" i="68"/>
  <c r="F7" i="68"/>
  <c r="F11" i="68"/>
  <c r="F15" i="68"/>
  <c r="F19" i="68"/>
  <c r="F23" i="68"/>
  <c r="F31" i="68"/>
  <c r="F50" i="68"/>
  <c r="F66" i="68"/>
  <c r="F53" i="68"/>
  <c r="F85" i="68"/>
  <c r="F30" i="68"/>
  <c r="F38" i="68"/>
  <c r="F48" i="68"/>
  <c r="F64" i="68"/>
  <c r="F80" i="68"/>
  <c r="F90" i="68"/>
  <c r="F94" i="68"/>
  <c r="F98" i="68"/>
  <c r="F51" i="68"/>
  <c r="F105" i="68"/>
  <c r="F113" i="68"/>
  <c r="F121" i="68"/>
  <c r="F129" i="68"/>
  <c r="F155" i="68"/>
  <c r="F171" i="68"/>
  <c r="F184" i="68"/>
  <c r="F188" i="68"/>
  <c r="F192" i="68"/>
  <c r="F196" i="68"/>
  <c r="F204" i="68"/>
  <c r="F208" i="68"/>
  <c r="F212" i="68"/>
  <c r="F216" i="68"/>
  <c r="F224" i="68"/>
  <c r="F228" i="68"/>
  <c r="F63" i="68"/>
  <c r="F146" i="68"/>
  <c r="F102" i="68"/>
  <c r="F110" i="68"/>
  <c r="F118" i="68"/>
  <c r="F126" i="68"/>
  <c r="F134" i="68"/>
  <c r="F149" i="68"/>
  <c r="F165" i="68"/>
  <c r="F181" i="68"/>
  <c r="F136" i="68"/>
  <c r="F152" i="68"/>
  <c r="F168" i="68"/>
  <c r="F232" i="68"/>
  <c r="F12" i="68"/>
  <c r="F16" i="68"/>
  <c r="F20" i="68"/>
  <c r="F25" i="68"/>
  <c r="F33" i="68"/>
  <c r="F54" i="68"/>
  <c r="F70" i="68"/>
  <c r="F86" i="68"/>
  <c r="F57" i="68"/>
  <c r="F73" i="68"/>
  <c r="F24" i="68"/>
  <c r="F32" i="68"/>
  <c r="F40" i="68"/>
  <c r="F52" i="68"/>
  <c r="F84" i="68"/>
  <c r="F91" i="68"/>
  <c r="F99" i="68"/>
  <c r="F67" i="68"/>
  <c r="F107" i="68"/>
  <c r="F115" i="68"/>
  <c r="F123" i="68"/>
  <c r="F131" i="68"/>
  <c r="F143" i="68"/>
  <c r="F159" i="68"/>
  <c r="F175" i="68"/>
  <c r="F185" i="68"/>
  <c r="F189" i="68"/>
  <c r="F193" i="68"/>
  <c r="F201" i="68"/>
  <c r="F205" i="68"/>
  <c r="F209" i="68"/>
  <c r="F213" i="68"/>
  <c r="F217" i="68"/>
  <c r="F221" i="68"/>
  <c r="F225" i="68"/>
  <c r="F229" i="68"/>
  <c r="F79" i="68"/>
  <c r="F166" i="68"/>
  <c r="F182" i="68"/>
  <c r="F112" i="68"/>
  <c r="F120" i="68"/>
  <c r="F128" i="68"/>
  <c r="F153" i="68"/>
  <c r="F169" i="68"/>
  <c r="F55" i="68"/>
  <c r="F140" i="68"/>
  <c r="F172" i="68"/>
  <c r="F231" i="68"/>
  <c r="F5" i="68"/>
  <c r="F9" i="68"/>
  <c r="F13" i="68"/>
  <c r="F17" i="68"/>
  <c r="F21" i="68"/>
  <c r="F35" i="68"/>
  <c r="F43" i="68"/>
  <c r="F58" i="68"/>
  <c r="F74" i="68"/>
  <c r="F45" i="68"/>
  <c r="F61" i="68"/>
  <c r="F77" i="68"/>
  <c r="F26" i="68"/>
  <c r="F34" i="68"/>
  <c r="F42" i="68"/>
  <c r="F56" i="68"/>
  <c r="F72" i="68"/>
  <c r="F92" i="68"/>
  <c r="F96" i="68"/>
  <c r="F100" i="68"/>
  <c r="F83" i="68"/>
  <c r="F109" i="68"/>
  <c r="F117" i="68"/>
  <c r="F125" i="68"/>
  <c r="F133" i="68"/>
  <c r="F147" i="68"/>
  <c r="F163" i="68"/>
  <c r="F179" i="68"/>
  <c r="F186" i="68"/>
  <c r="F190" i="68"/>
  <c r="F194" i="68"/>
  <c r="F198" i="68"/>
  <c r="F210" i="68"/>
  <c r="F214" i="68"/>
  <c r="F222" i="68"/>
  <c r="F226" i="68"/>
  <c r="F230" i="68"/>
  <c r="F154" i="68"/>
  <c r="F170" i="68"/>
  <c r="F59" i="68"/>
  <c r="F106" i="68"/>
  <c r="F114" i="68"/>
  <c r="F122" i="68"/>
  <c r="F130" i="68"/>
  <c r="F141" i="68"/>
  <c r="F173" i="68"/>
  <c r="F71" i="68"/>
  <c r="F144" i="68"/>
  <c r="F160" i="68"/>
  <c r="F176" i="68"/>
  <c r="F233" i="68"/>
  <c r="F2" i="60"/>
  <c r="C7" i="69"/>
  <c r="C34" i="69"/>
  <c r="C29" i="69"/>
  <c r="C85" i="69"/>
  <c r="C79" i="69"/>
  <c r="C59" i="69"/>
  <c r="C99" i="69"/>
  <c r="C24" i="69"/>
  <c r="C35" i="69"/>
  <c r="C10" i="69"/>
  <c r="C98" i="69"/>
  <c r="C14" i="69"/>
  <c r="C33" i="69"/>
  <c r="C17" i="69"/>
  <c r="C78" i="69"/>
  <c r="C4" i="69"/>
  <c r="C19" i="69"/>
  <c r="C88" i="69"/>
  <c r="C90" i="69"/>
  <c r="C81" i="69"/>
  <c r="C2" i="69"/>
  <c r="C6" i="69"/>
  <c r="C42" i="69"/>
  <c r="C54" i="69"/>
  <c r="C46" i="69"/>
  <c r="C68" i="69"/>
  <c r="C93" i="69"/>
  <c r="C49" i="69"/>
  <c r="C41" i="69"/>
  <c r="C28" i="69"/>
  <c r="C45" i="69"/>
  <c r="C63" i="69"/>
  <c r="C80" i="69"/>
  <c r="C48" i="69"/>
  <c r="C100" i="69"/>
  <c r="C96" i="69"/>
  <c r="C97" i="69"/>
  <c r="C66" i="69"/>
  <c r="C38" i="69"/>
  <c r="C9" i="69"/>
  <c r="C13" i="69"/>
  <c r="C11" i="69"/>
  <c r="C27" i="69"/>
  <c r="C47" i="69"/>
  <c r="C23" i="69"/>
  <c r="C36" i="69"/>
  <c r="C50" i="69"/>
  <c r="C3" i="69"/>
  <c r="C75" i="69"/>
  <c r="C8" i="69"/>
  <c r="C37" i="69"/>
  <c r="C83" i="69"/>
  <c r="C18" i="69"/>
  <c r="C58" i="69"/>
  <c r="C30" i="69"/>
  <c r="C64" i="69"/>
  <c r="C26" i="69"/>
  <c r="C67" i="69"/>
  <c r="C62" i="69"/>
  <c r="C72" i="69"/>
  <c r="C87" i="69"/>
  <c r="C5" i="69"/>
  <c r="C51" i="69"/>
  <c r="C16" i="69"/>
  <c r="C44" i="69"/>
  <c r="C95" i="69"/>
  <c r="C53" i="69"/>
  <c r="C55" i="69"/>
  <c r="C43" i="69"/>
  <c r="C52" i="69"/>
  <c r="C12" i="69"/>
  <c r="C92" i="69"/>
  <c r="C89" i="69"/>
  <c r="C69" i="69"/>
  <c r="C82" i="69"/>
  <c r="C15" i="69"/>
  <c r="C71" i="69"/>
  <c r="C57" i="69"/>
  <c r="C74" i="69"/>
  <c r="C22" i="69"/>
  <c r="C86" i="69"/>
  <c r="C101" i="69"/>
  <c r="C70" i="69"/>
  <c r="C76" i="69"/>
  <c r="C31" i="69"/>
  <c r="C60" i="69"/>
  <c r="C20" i="69"/>
  <c r="C65" i="69"/>
  <c r="C39" i="69"/>
  <c r="C40" i="69"/>
  <c r="C77" i="69"/>
  <c r="C56" i="69"/>
  <c r="C32" i="69"/>
  <c r="C91" i="69"/>
  <c r="C25" i="69"/>
  <c r="C84" i="69"/>
  <c r="C61" i="69"/>
  <c r="C94" i="69"/>
  <c r="C73" i="69"/>
  <c r="C21" i="69"/>
  <c r="A3" i="68"/>
  <c r="A4" i="68"/>
  <c r="A5" i="68"/>
  <c r="A6" i="68"/>
  <c r="A7" i="68"/>
  <c r="A8" i="68"/>
  <c r="A9" i="68"/>
  <c r="A10" i="68"/>
  <c r="A11" i="68"/>
  <c r="A12" i="68"/>
  <c r="A13" i="68"/>
  <c r="A14" i="68"/>
  <c r="A15" i="68"/>
  <c r="A16" i="68"/>
  <c r="A17" i="68"/>
  <c r="A18" i="68"/>
  <c r="A19" i="68"/>
  <c r="A20" i="68"/>
  <c r="A21" i="68"/>
  <c r="A22" i="68"/>
  <c r="A23" i="68"/>
  <c r="A24" i="68"/>
  <c r="A25" i="68"/>
  <c r="A26" i="68"/>
  <c r="A27" i="68"/>
  <c r="A28" i="68"/>
  <c r="A29" i="68"/>
  <c r="A30" i="68"/>
  <c r="A31" i="68"/>
  <c r="A32" i="68"/>
  <c r="A33" i="68"/>
  <c r="A34" i="68"/>
  <c r="A35" i="68"/>
  <c r="A36" i="68"/>
  <c r="A37" i="68"/>
  <c r="A38" i="68"/>
  <c r="A39" i="68"/>
  <c r="A40" i="68"/>
  <c r="A41" i="68"/>
  <c r="A42" i="68"/>
  <c r="A43" i="68"/>
  <c r="A44" i="68"/>
  <c r="A45" i="68"/>
  <c r="A46" i="68"/>
  <c r="A47" i="68"/>
  <c r="A48" i="68"/>
  <c r="A49" i="68"/>
  <c r="A50" i="68"/>
  <c r="A51" i="68"/>
  <c r="A52" i="68"/>
  <c r="A53" i="68"/>
  <c r="A54" i="68"/>
  <c r="A55" i="68"/>
  <c r="A56" i="68"/>
  <c r="A57" i="68"/>
  <c r="A58" i="68"/>
  <c r="A59" i="68"/>
  <c r="A60" i="68"/>
  <c r="A61" i="68"/>
  <c r="A62" i="68"/>
  <c r="A63" i="68"/>
  <c r="A64" i="68"/>
  <c r="A65" i="68"/>
  <c r="A66" i="68"/>
  <c r="A67" i="68"/>
  <c r="A68" i="68"/>
  <c r="A69" i="68"/>
  <c r="A70" i="68"/>
  <c r="A71" i="68"/>
  <c r="A72" i="68"/>
  <c r="A73" i="68"/>
  <c r="A74" i="68"/>
  <c r="A75" i="68"/>
  <c r="A76" i="68"/>
  <c r="A77" i="68"/>
  <c r="A78" i="68"/>
  <c r="A79" i="68"/>
  <c r="A80" i="68"/>
  <c r="A81" i="68"/>
  <c r="A82" i="68"/>
  <c r="A83" i="68"/>
  <c r="A84" i="68"/>
  <c r="A85" i="68"/>
  <c r="A86" i="68"/>
  <c r="A87" i="68"/>
  <c r="A88" i="68"/>
  <c r="A89" i="68"/>
  <c r="A90" i="68"/>
  <c r="A91" i="68"/>
  <c r="A92" i="68"/>
  <c r="A93" i="68"/>
  <c r="A94" i="68"/>
  <c r="A95" i="68"/>
  <c r="A96" i="68"/>
  <c r="A97" i="68"/>
  <c r="A98" i="68"/>
  <c r="A99" i="68"/>
  <c r="A100" i="68"/>
  <c r="A101" i="68"/>
  <c r="A102" i="68"/>
  <c r="A103" i="68"/>
  <c r="A104" i="68"/>
  <c r="A105" i="68"/>
  <c r="A106" i="68"/>
  <c r="A107" i="68"/>
  <c r="A108" i="68"/>
  <c r="A109" i="68"/>
  <c r="A110" i="68"/>
  <c r="A111" i="68"/>
  <c r="A112" i="68"/>
  <c r="A113" i="68"/>
  <c r="A114" i="68"/>
  <c r="A115" i="68"/>
  <c r="A116" i="68"/>
  <c r="A117" i="68"/>
  <c r="A118" i="68"/>
  <c r="A119" i="68"/>
  <c r="A120" i="68"/>
  <c r="A121" i="68"/>
  <c r="A122" i="68"/>
  <c r="A123" i="68"/>
  <c r="A124" i="68"/>
  <c r="A125" i="68"/>
  <c r="A126" i="68"/>
  <c r="A127" i="68"/>
  <c r="A128" i="68"/>
  <c r="A129" i="68"/>
  <c r="A130" i="68"/>
  <c r="A131" i="68"/>
  <c r="A132" i="68"/>
  <c r="A133" i="68"/>
  <c r="A134" i="68"/>
  <c r="A135" i="68"/>
  <c r="A136" i="68"/>
  <c r="A137" i="68"/>
  <c r="A138" i="68"/>
  <c r="A139" i="68"/>
  <c r="A140" i="68"/>
  <c r="A141" i="68"/>
  <c r="A142" i="68"/>
  <c r="A143" i="68"/>
  <c r="A144" i="68"/>
  <c r="A145" i="68"/>
  <c r="A146" i="68"/>
  <c r="A147" i="68"/>
  <c r="A148" i="68"/>
  <c r="A149" i="68"/>
  <c r="A150" i="68"/>
  <c r="A151" i="68"/>
  <c r="A152" i="68"/>
  <c r="A153" i="68"/>
  <c r="A154" i="68"/>
  <c r="A155" i="68"/>
  <c r="A156" i="68"/>
  <c r="A157" i="68"/>
  <c r="A158" i="68"/>
  <c r="A159" i="68"/>
  <c r="A160" i="68"/>
  <c r="A161" i="68"/>
  <c r="A162" i="68"/>
  <c r="A163" i="68"/>
  <c r="A164" i="68"/>
  <c r="A165" i="68"/>
  <c r="A166" i="68"/>
  <c r="A167" i="68"/>
  <c r="A168" i="68"/>
  <c r="A169" i="68"/>
  <c r="A170" i="68"/>
  <c r="A171" i="68"/>
  <c r="A172" i="68"/>
  <c r="A173" i="68"/>
  <c r="A174" i="68"/>
  <c r="A175" i="68"/>
  <c r="A176" i="68"/>
  <c r="A177" i="68"/>
  <c r="A178" i="68"/>
  <c r="A179" i="68"/>
  <c r="A180" i="68"/>
  <c r="A181" i="68"/>
  <c r="A182" i="68"/>
  <c r="A183" i="68"/>
  <c r="A184" i="68"/>
  <c r="A185" i="68"/>
  <c r="A186" i="68"/>
  <c r="A187" i="68"/>
  <c r="A188" i="68"/>
  <c r="A189" i="68"/>
  <c r="A190" i="68"/>
  <c r="A191" i="68"/>
  <c r="A192" i="68"/>
  <c r="A193" i="68"/>
  <c r="A194" i="68"/>
  <c r="A195" i="68"/>
  <c r="A196" i="68"/>
  <c r="A197" i="68"/>
  <c r="A198" i="68"/>
  <c r="A199" i="68"/>
  <c r="A200" i="68"/>
  <c r="A201" i="68"/>
  <c r="A202" i="68"/>
  <c r="A203" i="68"/>
  <c r="A204" i="68"/>
  <c r="A205" i="68"/>
  <c r="A206" i="68"/>
  <c r="A207" i="68"/>
  <c r="A208" i="68"/>
  <c r="A209" i="68"/>
  <c r="A210" i="68"/>
  <c r="A211" i="68"/>
  <c r="A212" i="68"/>
  <c r="A213" i="68"/>
  <c r="A214" i="68"/>
  <c r="A215" i="68"/>
  <c r="A216" i="68"/>
  <c r="A217" i="68"/>
  <c r="A218" i="68"/>
  <c r="A219" i="68"/>
  <c r="A220" i="68"/>
  <c r="A221" i="68"/>
  <c r="A222" i="68"/>
  <c r="A223" i="68"/>
  <c r="A224" i="68"/>
  <c r="A225" i="68"/>
  <c r="A226" i="68"/>
  <c r="A227" i="68"/>
  <c r="A228" i="68"/>
  <c r="A229" i="68"/>
  <c r="A230" i="68"/>
  <c r="A231" i="68"/>
  <c r="A232" i="68"/>
  <c r="A233" i="68"/>
  <c r="A2" i="68"/>
  <c r="F263" i="68" a="1"/>
  <c r="F263" i="68" s="1"/>
  <c r="F262" i="68" a="1"/>
  <c r="F262" i="68" s="1"/>
  <c r="F261" i="68" a="1"/>
  <c r="F261" i="68" s="1"/>
  <c r="F260" i="68" a="1"/>
  <c r="F260" i="68" s="1"/>
  <c r="F259" i="68" a="1"/>
  <c r="F259" i="68" s="1"/>
  <c r="F258" i="68" a="1"/>
  <c r="F258" i="68" s="1"/>
  <c r="F257" i="68" a="1"/>
  <c r="F257" i="68" s="1"/>
  <c r="F256" i="68" a="1"/>
  <c r="F256" i="68" s="1"/>
  <c r="F255" i="68" a="1"/>
  <c r="F255" i="68" s="1"/>
  <c r="F254" i="68" a="1"/>
  <c r="F254" i="68" s="1"/>
  <c r="F253" i="68" a="1"/>
  <c r="F253" i="68" s="1"/>
  <c r="F252" i="68" a="1"/>
  <c r="F252" i="68" s="1"/>
  <c r="F251" i="68" a="1"/>
  <c r="F251" i="68" s="1"/>
  <c r="F250" i="68" a="1"/>
  <c r="F250" i="68" s="1"/>
  <c r="F249" i="68" a="1"/>
  <c r="F249" i="68" s="1"/>
  <c r="F248" i="68" a="1"/>
  <c r="F248" i="68" s="1"/>
  <c r="F247" i="68" a="1"/>
  <c r="F247" i="68" s="1"/>
  <c r="F246" i="68" a="1"/>
  <c r="F246" i="68" s="1"/>
  <c r="F245" i="68" a="1"/>
  <c r="F245" i="68" s="1"/>
  <c r="F244" i="68" a="1"/>
  <c r="F244" i="68" s="1"/>
  <c r="F243" i="68" a="1"/>
  <c r="F243" i="68" s="1"/>
  <c r="F242" i="68" a="1"/>
  <c r="F242" i="68" s="1"/>
  <c r="F241" i="68" a="1"/>
  <c r="F241" i="68" s="1"/>
  <c r="F240" i="68" a="1"/>
  <c r="F240" i="68" s="1"/>
  <c r="F239" i="68" a="1"/>
  <c r="F239" i="68" s="1"/>
  <c r="F238" i="68" a="1"/>
  <c r="F238" i="68" s="1"/>
  <c r="F237" i="68" a="1"/>
  <c r="F237" i="68" s="1"/>
  <c r="F236" i="68" a="1"/>
  <c r="F236" i="68" s="1"/>
  <c r="F235" i="68" a="1"/>
  <c r="F235" i="68" s="1"/>
  <c r="F234" i="68" a="1"/>
  <c r="F234" i="68" s="1"/>
  <c r="F234" i="60" a="1"/>
  <c r="F234" i="60" s="1"/>
  <c r="F235" i="60" a="1"/>
  <c r="F235" i="60" s="1"/>
  <c r="F236" i="60" a="1"/>
  <c r="F236" i="60" s="1"/>
  <c r="F237" i="60" a="1"/>
  <c r="F237" i="60" s="1"/>
  <c r="F238" i="60" a="1"/>
  <c r="F238" i="60" s="1"/>
  <c r="F239" i="60" a="1"/>
  <c r="F239" i="60" s="1"/>
  <c r="F240" i="60" a="1"/>
  <c r="F240" i="60" s="1"/>
  <c r="F241" i="60" a="1"/>
  <c r="F241" i="60" s="1"/>
  <c r="F242" i="60" a="1"/>
  <c r="F242" i="60" s="1"/>
  <c r="F243" i="60" a="1"/>
  <c r="F243" i="60" s="1"/>
  <c r="F244" i="60" a="1"/>
  <c r="F244" i="60" s="1"/>
  <c r="F245" i="60" a="1"/>
  <c r="F245" i="60" s="1"/>
  <c r="F246" i="60" a="1"/>
  <c r="F246" i="60" s="1"/>
  <c r="F247" i="60" a="1"/>
  <c r="F247" i="60" s="1"/>
  <c r="F248" i="60" a="1"/>
  <c r="F248" i="60" s="1"/>
  <c r="F249" i="60" a="1"/>
  <c r="F249" i="60" s="1"/>
  <c r="F250" i="60" a="1"/>
  <c r="F250" i="60" s="1"/>
  <c r="F251" i="60" a="1"/>
  <c r="F251" i="60" s="1"/>
  <c r="F252" i="60" a="1"/>
  <c r="F252" i="60" s="1"/>
  <c r="F253" i="60" a="1"/>
  <c r="F253" i="60" s="1"/>
  <c r="F254" i="60" a="1"/>
  <c r="F254" i="60" s="1"/>
  <c r="F255" i="60" a="1"/>
  <c r="F255" i="60" s="1"/>
  <c r="F256" i="60" a="1"/>
  <c r="F256" i="60" s="1"/>
  <c r="F257" i="60" a="1"/>
  <c r="F257" i="60" s="1"/>
  <c r="F258" i="60" a="1"/>
  <c r="F258" i="60" s="1"/>
  <c r="F259" i="60" a="1"/>
  <c r="F259" i="60" s="1"/>
  <c r="F260" i="60" a="1"/>
  <c r="F260" i="60" s="1"/>
  <c r="F261" i="60" a="1"/>
  <c r="F261" i="60" s="1"/>
  <c r="F262" i="60" a="1"/>
  <c r="F262" i="60" s="1"/>
  <c r="F263" i="60" a="1"/>
  <c r="F263" i="60" s="1"/>
  <c r="B254" i="68" a="1"/>
  <c r="B261" i="68" a="1"/>
  <c r="B241" i="68" a="1"/>
  <c r="B263" i="68" a="1"/>
  <c r="B244" i="68" a="1"/>
  <c r="B245" i="68" a="1"/>
  <c r="B264" i="68" a="1"/>
  <c r="B250" i="68" a="1"/>
  <c r="B251" i="68" a="1"/>
  <c r="B257" i="68" a="1"/>
  <c r="B259" i="68" a="1"/>
  <c r="B246" i="68" a="1"/>
  <c r="B260" i="68" a="1"/>
  <c r="B262" i="68" a="1"/>
  <c r="B242" i="68" a="1"/>
  <c r="B243" i="68" a="1"/>
  <c r="B253" i="68" a="1"/>
  <c r="B255" i="68" a="1"/>
  <c r="B252" i="68" a="1"/>
  <c r="B258" i="68" a="1"/>
  <c r="B266" i="68" a="1"/>
  <c r="B248" i="68" a="1"/>
  <c r="B249" i="68" a="1"/>
  <c r="G102" i="69" a="1"/>
  <c r="B265" i="68" a="1"/>
  <c r="B247" i="68" a="1"/>
  <c r="B256" i="68" a="1"/>
  <c r="G102" i="69" l="1"/>
  <c r="E2" i="68" a="1"/>
  <c r="E2" i="68" l="1"/>
  <c r="B256" i="60" a="1"/>
  <c r="B265" i="60" a="1"/>
  <c r="B266" i="60" a="1"/>
  <c r="B255" i="60" a="1"/>
  <c r="B238" i="60" a="1"/>
  <c r="B241" i="60" a="1"/>
  <c r="B246" i="60" a="1"/>
  <c r="B235" i="60" a="1"/>
  <c r="B264" i="60" a="1"/>
  <c r="F2" i="68" a="1"/>
  <c r="B239" i="60" a="1"/>
  <c r="B247" i="60" a="1"/>
  <c r="B250" i="60" a="1"/>
  <c r="B243" i="60" a="1"/>
  <c r="B254" i="60" a="1"/>
  <c r="B252" i="60" a="1"/>
  <c r="B262" i="60" a="1"/>
  <c r="B245" i="60" a="1"/>
  <c r="B240" i="60" a="1"/>
  <c r="B257" i="60" a="1"/>
  <c r="B237" i="60" a="1"/>
  <c r="B260" i="60" a="1"/>
  <c r="B248" i="60" a="1"/>
  <c r="B251" i="60" a="1"/>
  <c r="B261" i="60" a="1"/>
  <c r="B258" i="60" a="1"/>
  <c r="B253" i="60" a="1"/>
  <c r="B234" i="60" a="1"/>
  <c r="B236" i="60" a="1"/>
  <c r="B259" i="60" a="1"/>
  <c r="B244" i="60" a="1"/>
  <c r="B242" i="60" a="1"/>
  <c r="B263" i="60" a="1"/>
  <c r="B249" i="60" a="1"/>
  <c r="F2" i="68" l="1"/>
  <c r="B241" i="68"/>
  <c r="B243" i="68"/>
  <c r="B245" i="68"/>
  <c r="B247" i="68"/>
  <c r="B249" i="68"/>
  <c r="B251" i="68"/>
  <c r="B242" i="68"/>
  <c r="B244" i="68"/>
  <c r="B246" i="68"/>
  <c r="B248" i="68"/>
  <c r="B250" i="68"/>
  <c r="B265" i="68"/>
  <c r="B252" i="68"/>
  <c r="B253" i="68"/>
  <c r="B254" i="68"/>
  <c r="B255" i="68"/>
  <c r="B256" i="68"/>
  <c r="B257" i="68"/>
  <c r="B258" i="68"/>
  <c r="B259" i="68"/>
  <c r="B260" i="68"/>
  <c r="B261" i="68"/>
  <c r="B262" i="68"/>
  <c r="B263" i="68"/>
  <c r="B264" i="68"/>
  <c r="B266" i="68"/>
  <c r="B261" i="60"/>
  <c r="B242" i="60"/>
  <c r="B266" i="60"/>
  <c r="B253" i="60"/>
  <c r="B237" i="60"/>
  <c r="B255" i="60"/>
  <c r="B244" i="60"/>
  <c r="B250" i="60"/>
  <c r="B263" i="60"/>
  <c r="B252" i="60"/>
  <c r="B239" i="60"/>
  <c r="B265" i="60"/>
  <c r="B262" i="60"/>
  <c r="B257" i="60"/>
  <c r="B254" i="60"/>
  <c r="B249" i="60"/>
  <c r="B246" i="60"/>
  <c r="B241" i="60"/>
  <c r="B238" i="60"/>
  <c r="B258" i="60"/>
  <c r="B245" i="60"/>
  <c r="B234" i="60"/>
  <c r="B260" i="60"/>
  <c r="B247" i="60"/>
  <c r="B236" i="60"/>
  <c r="B264" i="60"/>
  <c r="B259" i="60"/>
  <c r="B256" i="60"/>
  <c r="B251" i="60"/>
  <c r="B248" i="60"/>
  <c r="B243" i="60"/>
  <c r="B240" i="60"/>
  <c r="B235" i="6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<sst xmlns="http://schemas.openxmlformats.org/spreadsheetml/2006/main" count="2610" uniqueCount="1892">
  <si>
    <t>=simpleSim(A1,B1)</t>
  </si>
  <si>
    <t xml:space="preserve"> Finds the best match for needle in the haystack range and returns the corresponding item in the result range using the Levensthein similarity</t>
  </si>
  <si>
    <t xml:space="preserve"> Needle is interpreted as string.</t>
  </si>
  <si>
    <t xml:space="preserve"> Haystack and result must be ranges with a single column and equal number of rows.</t>
  </si>
  <si>
    <t xml:space="preserve"> Haystack can be of any order, but the search stops at an empty cell, if the range is the entire column (eg. A:A)</t>
  </si>
  <si>
    <t xml:space="preserve"> Threshold fine tunes the sensitivity (for values between 0 and 1). If the score of no value in haystack exceeds threshold, the result is empty.</t>
  </si>
  <si>
    <t xml:space="preserve"> Partialstring looks for asymetric matches where needle is included in haystack but the haystack not in needle</t>
  </si>
  <si>
    <t xml:space="preserve"> Simplestring uses URL-representation of the needle and the haystack (all lowercase, no special characters)</t>
  </si>
  <si>
    <t xml:space="preserve"> Finds the best match for needle in the haystack range and returns the corresponding item in the result range using the simpleSim similarity</t>
  </si>
  <si>
    <t xml:space="preserve"> Calculates the edit distance of needle and haystack.</t>
  </si>
  <si>
    <t xml:space="preserve"> Calculates the edit distance of needle and haystack as a similarity measure (0 not similar, 1 identical)</t>
  </si>
  <si>
    <t xml:space="preserve"> Calculates the similarity of needle with haystack between 0 (not at all similar) and 1 (identical) based on custom algorithm</t>
  </si>
  <si>
    <t xml:space="preserve"> Converts a text to an URL-compatible form (all lowercase and all non-alphanumeric characters replaced by "-")</t>
  </si>
  <si>
    <t>=LevenshteinSimilarity(A1,K1)</t>
  </si>
  <si>
    <t>Company Name</t>
  </si>
  <si>
    <t>23andMe</t>
  </si>
  <si>
    <t>280 Group</t>
  </si>
  <si>
    <t>5AM Ventures</t>
  </si>
  <si>
    <t>Accel</t>
  </si>
  <si>
    <t>Addepar</t>
  </si>
  <si>
    <t>Adecco Group</t>
  </si>
  <si>
    <t>Adobe</t>
  </si>
  <si>
    <t>AgilOne</t>
  </si>
  <si>
    <t>Alation</t>
  </si>
  <si>
    <t>AlienVault</t>
  </si>
  <si>
    <t>Altimeter Capital</t>
  </si>
  <si>
    <t>Altos Ventures</t>
  </si>
  <si>
    <t>Amazon</t>
  </si>
  <si>
    <t>Ambient.ai</t>
  </si>
  <si>
    <t>AMD</t>
  </si>
  <si>
    <t>Amply Power</t>
  </si>
  <si>
    <t>Andreessen Horowitz</t>
  </si>
  <si>
    <t>Anomali</t>
  </si>
  <si>
    <t>Apple</t>
  </si>
  <si>
    <t>Apttus</t>
  </si>
  <si>
    <t>Arista</t>
  </si>
  <si>
    <t>Armory</t>
  </si>
  <si>
    <t>Ascend</t>
  </si>
  <si>
    <t>ASUS</t>
  </si>
  <si>
    <t>Avast</t>
  </si>
  <si>
    <t>Baidu USA</t>
  </si>
  <si>
    <t>Barracuda</t>
  </si>
  <si>
    <t>Battery Ventures</t>
  </si>
  <si>
    <t>Benevity</t>
  </si>
  <si>
    <t>Betterworks</t>
  </si>
  <si>
    <t>Blue River Technology</t>
  </si>
  <si>
    <t>BlueJeans</t>
  </si>
  <si>
    <t>BlueVine</t>
  </si>
  <si>
    <t>Box</t>
  </si>
  <si>
    <t>Branch</t>
  </si>
  <si>
    <t>Bright Capital</t>
  </si>
  <si>
    <t>Brillio</t>
  </si>
  <si>
    <t>Broadcom</t>
  </si>
  <si>
    <t>C3</t>
  </si>
  <si>
    <t>Cadence Design Systems</t>
  </si>
  <si>
    <t>Canaan Partners</t>
  </si>
  <si>
    <t>Carbon</t>
  </si>
  <si>
    <t>Carta</t>
  </si>
  <si>
    <t>Charles River Ventures</t>
  </si>
  <si>
    <t>Chegg</t>
  </si>
  <si>
    <t>CipherCloud</t>
  </si>
  <si>
    <t>Cisco</t>
  </si>
  <si>
    <t>Clara Analytics</t>
  </si>
  <si>
    <t>Cloudbees</t>
  </si>
  <si>
    <t>Clover Network</t>
  </si>
  <si>
    <t>Codexis</t>
  </si>
  <si>
    <t>ColorTokens</t>
  </si>
  <si>
    <t>Columbus Nova</t>
  </si>
  <si>
    <t>CommonGenius</t>
  </si>
  <si>
    <t>Confident Cannabis</t>
  </si>
  <si>
    <t>Course Hero</t>
  </si>
  <si>
    <t>Coursera</t>
  </si>
  <si>
    <t>Cradlepoint</t>
  </si>
  <si>
    <t>Crossover Hub</t>
  </si>
  <si>
    <t>DataStax</t>
  </si>
  <si>
    <t>Datavisor</t>
  </si>
  <si>
    <t>Datrium</t>
  </si>
  <si>
    <t>DCM Ventures</t>
  </si>
  <si>
    <t>Delphix</t>
  </si>
  <si>
    <t>DiDi Labs</t>
  </si>
  <si>
    <t>Diffbot</t>
  </si>
  <si>
    <t>DNAnexus</t>
  </si>
  <si>
    <t>Dokkio</t>
  </si>
  <si>
    <t>Draper Fisher Jurvetson</t>
  </si>
  <si>
    <t>eBay</t>
  </si>
  <si>
    <t>Egnyte</t>
  </si>
  <si>
    <t>Elastic</t>
  </si>
  <si>
    <t>Electronic Arts</t>
  </si>
  <si>
    <t>EMC Data Domain</t>
  </si>
  <si>
    <t>Equinix</t>
  </si>
  <si>
    <t>Evernote</t>
  </si>
  <si>
    <t>Facebook</t>
  </si>
  <si>
    <t>Fanatics</t>
  </si>
  <si>
    <t>FileMaker</t>
  </si>
  <si>
    <t>Flipboard</t>
  </si>
  <si>
    <t>Forcepoint</t>
  </si>
  <si>
    <t>Gainsight</t>
  </si>
  <si>
    <t>GarageScript</t>
  </si>
  <si>
    <t>GenapSys</t>
  </si>
  <si>
    <t>Genomic Health</t>
  </si>
  <si>
    <t>GGV Capital</t>
  </si>
  <si>
    <t>GI Partners</t>
  </si>
  <si>
    <t>Gigya</t>
  </si>
  <si>
    <t>Globalfoundries</t>
  </si>
  <si>
    <t>GoFundMe</t>
  </si>
  <si>
    <t>Gong.io</t>
  </si>
  <si>
    <t>GoodRx</t>
  </si>
  <si>
    <t>Google</t>
  </si>
  <si>
    <t>Green Bits</t>
  </si>
  <si>
    <t>Greenfield Labs</t>
  </si>
  <si>
    <t>Greylock Partners</t>
  </si>
  <si>
    <t>Groupon</t>
  </si>
  <si>
    <t>GSR Ventures</t>
  </si>
  <si>
    <t>GV</t>
  </si>
  <si>
    <t>HackerRank</t>
  </si>
  <si>
    <t>Harmonic</t>
  </si>
  <si>
    <t>Health Gorilla</t>
  </si>
  <si>
    <t>HeartFlow</t>
  </si>
  <si>
    <t>Hewlett Packard</t>
  </si>
  <si>
    <t>Hewlett-Packard Enterprise</t>
  </si>
  <si>
    <t>Highland Capital Partners</t>
  </si>
  <si>
    <t>Hiretual</t>
  </si>
  <si>
    <t>Hivemapper</t>
  </si>
  <si>
    <t>Houzz</t>
  </si>
  <si>
    <t>IBM</t>
  </si>
  <si>
    <t>Imperva</t>
  </si>
  <si>
    <t>Incorta</t>
  </si>
  <si>
    <t>Inflection.com</t>
  </si>
  <si>
    <t>Infogain</t>
  </si>
  <si>
    <t>Informatica</t>
  </si>
  <si>
    <t>Institutional Venture Partners</t>
  </si>
  <si>
    <t>Intel</t>
  </si>
  <si>
    <t>Intelliswift</t>
  </si>
  <si>
    <t>InterWest Partners</t>
  </si>
  <si>
    <t>Intuit</t>
  </si>
  <si>
    <t>Invoice2go</t>
  </si>
  <si>
    <t>Jasper Wireless</t>
  </si>
  <si>
    <t>Jobvite</t>
  </si>
  <si>
    <t>Juniper Networks</t>
  </si>
  <si>
    <t>Katerra</t>
  </si>
  <si>
    <t>Khan Academy</t>
  </si>
  <si>
    <t>Khosla Ventures</t>
  </si>
  <si>
    <t>Kleiner Perkins</t>
  </si>
  <si>
    <t>Kohlberg Kravis Roberts</t>
  </si>
  <si>
    <t>Lab126</t>
  </si>
  <si>
    <t>Leetcode</t>
  </si>
  <si>
    <t>Lightspeed Venture Partners</t>
  </si>
  <si>
    <t>Livongo</t>
  </si>
  <si>
    <t>Logitech</t>
  </si>
  <si>
    <t>Lohika</t>
  </si>
  <si>
    <t>Machine Zone</t>
  </si>
  <si>
    <t>Makena Capital Management</t>
  </si>
  <si>
    <t>MapR Technologies</t>
  </si>
  <si>
    <t>Marketo</t>
  </si>
  <si>
    <t>MarkLogic</t>
  </si>
  <si>
    <t>Marvell</t>
  </si>
  <si>
    <t>Mattermost</t>
  </si>
  <si>
    <t>Mayfield Fund</t>
  </si>
  <si>
    <t>McAfee</t>
  </si>
  <si>
    <t>Menlo Ventures</t>
  </si>
  <si>
    <t>Mentor Graphics</t>
  </si>
  <si>
    <t>MetaVision</t>
  </si>
  <si>
    <t>MetricStream</t>
  </si>
  <si>
    <t>Miles</t>
  </si>
  <si>
    <t>Mindsource</t>
  </si>
  <si>
    <t>Model N</t>
  </si>
  <si>
    <t>Mohr Davidow Ventures</t>
  </si>
  <si>
    <t>MongoDB</t>
  </si>
  <si>
    <t>Morgenthaler</t>
  </si>
  <si>
    <t>Mountain View Staffing</t>
  </si>
  <si>
    <t>NetApp</t>
  </si>
  <si>
    <t>Netflix</t>
  </si>
  <si>
    <t>NetSpring</t>
  </si>
  <si>
    <t>New Enterprise Associates</t>
  </si>
  <si>
    <t>NexGenT</t>
  </si>
  <si>
    <t>Nextgen Technologies</t>
  </si>
  <si>
    <t>Nexus Venture Partners</t>
  </si>
  <si>
    <t>Nuance Communications</t>
  </si>
  <si>
    <t>Nuro</t>
  </si>
  <si>
    <t>Nutanix</t>
  </si>
  <si>
    <t>NVIDIA</t>
  </si>
  <si>
    <t>Onesignal</t>
  </si>
  <si>
    <t>Onset Ventures</t>
  </si>
  <si>
    <t>Oracle</t>
  </si>
  <si>
    <t>OutreachCircle</t>
  </si>
  <si>
    <t>Palantir</t>
  </si>
  <si>
    <t>Palo Alto Staffing</t>
  </si>
  <si>
    <t>PayPal</t>
  </si>
  <si>
    <t>Planful</t>
  </si>
  <si>
    <t>Poshmark</t>
  </si>
  <si>
    <t>Proofpoint</t>
  </si>
  <si>
    <t>Proteus Digital Health</t>
  </si>
  <si>
    <t>Qualys</t>
  </si>
  <si>
    <t>Quora</t>
  </si>
  <si>
    <t>Qwilt</t>
  </si>
  <si>
    <t>Red Oak Technologies</t>
  </si>
  <si>
    <t>Redpoint Ventures</t>
  </si>
  <si>
    <t>Relay Ventures</t>
  </si>
  <si>
    <t>reputation.com</t>
  </si>
  <si>
    <t>RingCentral</t>
  </si>
  <si>
    <t>Robinhood</t>
  </si>
  <si>
    <t>Roblox</t>
  </si>
  <si>
    <t>Roku</t>
  </si>
  <si>
    <t>Sandisk</t>
  </si>
  <si>
    <t>SAP</t>
  </si>
  <si>
    <t>Scalyr</t>
  </si>
  <si>
    <t>Seagate</t>
  </si>
  <si>
    <t>Securly</t>
  </si>
  <si>
    <t>Sendbird</t>
  </si>
  <si>
    <t>Sendgrid</t>
  </si>
  <si>
    <t>SentinelOne</t>
  </si>
  <si>
    <t>Sequoia Capital</t>
  </si>
  <si>
    <t>Shasta Ventures</t>
  </si>
  <si>
    <t>Shazam</t>
  </si>
  <si>
    <t>Shutterfly</t>
  </si>
  <si>
    <t>Sibly</t>
  </si>
  <si>
    <t>Sierra Ventures</t>
  </si>
  <si>
    <t>SignalFx</t>
  </si>
  <si>
    <t>Silver Lake Partners</t>
  </si>
  <si>
    <t>Sizmek</t>
  </si>
  <si>
    <t>SmugMug</t>
  </si>
  <si>
    <t>SnapLogic</t>
  </si>
  <si>
    <t>Snowflake Computing</t>
  </si>
  <si>
    <t>Social Capital</t>
  </si>
  <si>
    <t>Sofinnova Ventures</t>
  </si>
  <si>
    <t>Space Systems Loral</t>
  </si>
  <si>
    <t>Spark Capital</t>
  </si>
  <si>
    <t>Sterling Communications</t>
  </si>
  <si>
    <t>Storm Ventures</t>
  </si>
  <si>
    <t>Sumo Logic</t>
  </si>
  <si>
    <t>SurveyMonkey</t>
  </si>
  <si>
    <t>SVG Ventures</t>
  </si>
  <si>
    <t>Syllable.ai</t>
  </si>
  <si>
    <t>Symantec</t>
  </si>
  <si>
    <t>Synopsys</t>
  </si>
  <si>
    <t>TalentSeer</t>
  </si>
  <si>
    <t>Taos</t>
  </si>
  <si>
    <t>Tascent</t>
  </si>
  <si>
    <t>Tata Consultancy Services</t>
  </si>
  <si>
    <t>Tenable</t>
  </si>
  <si>
    <t>Tesla</t>
  </si>
  <si>
    <t>The Blackstone Group</t>
  </si>
  <si>
    <t>The Westly Group</t>
  </si>
  <si>
    <t>TIBCO Software</t>
  </si>
  <si>
    <t>Trinity Ventures</t>
  </si>
  <si>
    <t>TriplePoint Capital</t>
  </si>
  <si>
    <t>TuneIn</t>
  </si>
  <si>
    <t>Tynker</t>
  </si>
  <si>
    <t>U.S. Venture Partners</t>
  </si>
  <si>
    <t>Udacity</t>
  </si>
  <si>
    <t>unitQ</t>
  </si>
  <si>
    <t>Veev</t>
  </si>
  <si>
    <t>Verkada</t>
  </si>
  <si>
    <t>Virtusa</t>
  </si>
  <si>
    <t>Visa</t>
  </si>
  <si>
    <t>VMWare</t>
  </si>
  <si>
    <t>Volt Workforce Solutions</t>
  </si>
  <si>
    <t>Walmart Labs</t>
  </si>
  <si>
    <t>Wealthfront</t>
  </si>
  <si>
    <t>WellPay</t>
  </si>
  <si>
    <t>WePay</t>
  </si>
  <si>
    <t>WhatsApp</t>
  </si>
  <si>
    <t>Wiser Solutions</t>
  </si>
  <si>
    <t>Workato</t>
  </si>
  <si>
    <t>WorkBoard</t>
  </si>
  <si>
    <t>Xilinx</t>
  </si>
  <si>
    <t>Xoriant</t>
  </si>
  <si>
    <t>Yahoo</t>
  </si>
  <si>
    <t>Yodlee</t>
  </si>
  <si>
    <t>YouTube</t>
  </si>
  <si>
    <t>Yummly</t>
  </si>
  <si>
    <t>Zazzle</t>
  </si>
  <si>
    <t>Zicasso</t>
  </si>
  <si>
    <t>Zipcar</t>
  </si>
  <si>
    <t>Zscaler</t>
  </si>
  <si>
    <t>Zume Pizza</t>
  </si>
  <si>
    <t>Zuora</t>
  </si>
  <si>
    <t>Website</t>
  </si>
  <si>
    <t>23andme.com</t>
  </si>
  <si>
    <t>280group.com</t>
  </si>
  <si>
    <t>5amventures.com</t>
  </si>
  <si>
    <t>www.accel.com</t>
  </si>
  <si>
    <t>addepar.com</t>
  </si>
  <si>
    <t>www.adeccogroup.com</t>
  </si>
  <si>
    <t>www.adobe.com</t>
  </si>
  <si>
    <t>acquia.com</t>
  </si>
  <si>
    <t>alation.com</t>
  </si>
  <si>
    <t>www.alienvault.com</t>
  </si>
  <si>
    <t>amazon.com</t>
  </si>
  <si>
    <t>ambient.ai</t>
  </si>
  <si>
    <t>www.amd.com</t>
  </si>
  <si>
    <t>www.amplypower.com</t>
  </si>
  <si>
    <t>a16z.com</t>
  </si>
  <si>
    <t>anomali.com</t>
  </si>
  <si>
    <t>www.apple.com</t>
  </si>
  <si>
    <t>apttus.com</t>
  </si>
  <si>
    <t>arista.com</t>
  </si>
  <si>
    <t>www.armory.io</t>
  </si>
  <si>
    <t>tryascend.com</t>
  </si>
  <si>
    <t>www.asus.com</t>
  </si>
  <si>
    <t>avast.com</t>
  </si>
  <si>
    <t>usa.baidu.com</t>
  </si>
  <si>
    <t>www.barracuda.com</t>
  </si>
  <si>
    <t>benevity.com</t>
  </si>
  <si>
    <t>betterworks.com</t>
  </si>
  <si>
    <t>www.bluerivertechnology.com</t>
  </si>
  <si>
    <t>www.bluejeans.com</t>
  </si>
  <si>
    <t>bluevine.com</t>
  </si>
  <si>
    <t>box.com</t>
  </si>
  <si>
    <t>branch.io</t>
  </si>
  <si>
    <t>www.brillio.com</t>
  </si>
  <si>
    <t>www.broadcom.com</t>
  </si>
  <si>
    <t>c3.ai</t>
  </si>
  <si>
    <t>www.cadence.com</t>
  </si>
  <si>
    <t>carbon3d.com</t>
  </si>
  <si>
    <t>carta.com</t>
  </si>
  <si>
    <t>www.chegg.com</t>
  </si>
  <si>
    <t>ciphercloud.com</t>
  </si>
  <si>
    <t>cisco.com</t>
  </si>
  <si>
    <t>www.claraanalytics.com</t>
  </si>
  <si>
    <t>www.cloudbees.com</t>
  </si>
  <si>
    <t>clover.com</t>
  </si>
  <si>
    <t>codexis.com</t>
  </si>
  <si>
    <t>colortokens.com</t>
  </si>
  <si>
    <t>commongenius.com</t>
  </si>
  <si>
    <t>confidentcannabis.com</t>
  </si>
  <si>
    <t>www.coursehero.com</t>
  </si>
  <si>
    <t>www.coursera.org</t>
  </si>
  <si>
    <t>cradlepoint.com</t>
  </si>
  <si>
    <t>crossoverhub.com</t>
  </si>
  <si>
    <t>datastax.com</t>
  </si>
  <si>
    <t>datavisor.com</t>
  </si>
  <si>
    <t>datrium.com</t>
  </si>
  <si>
    <t>delphix.com</t>
  </si>
  <si>
    <t>didi-labs.com</t>
  </si>
  <si>
    <t>www.diffbot.com</t>
  </si>
  <si>
    <t>dnanexusconnect.com</t>
  </si>
  <si>
    <t>dokkio.com</t>
  </si>
  <si>
    <t>www.ebay.com</t>
  </si>
  <si>
    <t>egnyte.com</t>
  </si>
  <si>
    <t>elastic.co</t>
  </si>
  <si>
    <t>ea.com</t>
  </si>
  <si>
    <t>emc.com</t>
  </si>
  <si>
    <t>equinix.com</t>
  </si>
  <si>
    <t>evernote.com</t>
  </si>
  <si>
    <t>www.facebook.com</t>
  </si>
  <si>
    <t>fanatics.com</t>
  </si>
  <si>
    <t>www.filemaker.com</t>
  </si>
  <si>
    <t>about.flipboard.com</t>
  </si>
  <si>
    <t>forcepoint.com</t>
  </si>
  <si>
    <t>gainsight.com</t>
  </si>
  <si>
    <t>garagescript.org</t>
  </si>
  <si>
    <t>genapsys.com</t>
  </si>
  <si>
    <t>genomichealth.com</t>
  </si>
  <si>
    <t>gigya.com</t>
  </si>
  <si>
    <t>globalfoundries.com</t>
  </si>
  <si>
    <t>www.gofundme.com</t>
  </si>
  <si>
    <t>www.gong.io</t>
  </si>
  <si>
    <t>goodrx.com</t>
  </si>
  <si>
    <t>google.com</t>
  </si>
  <si>
    <t>www.greenbits.com</t>
  </si>
  <si>
    <t>greenfieldlabs.com</t>
  </si>
  <si>
    <t>greylock.com</t>
  </si>
  <si>
    <t>groupon.com</t>
  </si>
  <si>
    <t>www.gsrventures.com</t>
  </si>
  <si>
    <t>www.gv.com</t>
  </si>
  <si>
    <t>hackerrank.com</t>
  </si>
  <si>
    <t>harmonicinc.com</t>
  </si>
  <si>
    <t>healthgorilla.com</t>
  </si>
  <si>
    <t>heartflow.com</t>
  </si>
  <si>
    <t>hp.com</t>
  </si>
  <si>
    <t>hpe.com</t>
  </si>
  <si>
    <t>www.hiretual.com</t>
  </si>
  <si>
    <t>hivemapper.com</t>
  </si>
  <si>
    <t>houzz.com</t>
  </si>
  <si>
    <t>ibm.com</t>
  </si>
  <si>
    <t>imperva.com</t>
  </si>
  <si>
    <t>incorta.com</t>
  </si>
  <si>
    <t>inflection.com</t>
  </si>
  <si>
    <t>infogain.com</t>
  </si>
  <si>
    <t>informatica.com</t>
  </si>
  <si>
    <t>intel.com</t>
  </si>
  <si>
    <t>intelliswift.com</t>
  </si>
  <si>
    <t>www.intuit.com</t>
  </si>
  <si>
    <t>2go.com</t>
  </si>
  <si>
    <t>jasper.com</t>
  </si>
  <si>
    <t>jobvite.com</t>
  </si>
  <si>
    <t>juniper.net</t>
  </si>
  <si>
    <t>www.katerra.com</t>
  </si>
  <si>
    <t>www.khanacademy.org</t>
  </si>
  <si>
    <t>khoslaventures.com</t>
  </si>
  <si>
    <t>kkr.com</t>
  </si>
  <si>
    <t>lab126.com</t>
  </si>
  <si>
    <t>leetcode.com</t>
  </si>
  <si>
    <t>lsvp.com</t>
  </si>
  <si>
    <t>livongo.com</t>
  </si>
  <si>
    <t>logitech.com</t>
  </si>
  <si>
    <t>lohika.com</t>
  </si>
  <si>
    <t>www.mz.com</t>
  </si>
  <si>
    <t>mapr.com</t>
  </si>
  <si>
    <t>marketo.com</t>
  </si>
  <si>
    <t>marklogic.com</t>
  </si>
  <si>
    <t>marvell.com</t>
  </si>
  <si>
    <t>mattermost.com</t>
  </si>
  <si>
    <t>mcafee.com</t>
  </si>
  <si>
    <t>www.menlovc.com</t>
  </si>
  <si>
    <t>mentor.com</t>
  </si>
  <si>
    <t>www.metavision.com</t>
  </si>
  <si>
    <t>metricstream.com</t>
  </si>
  <si>
    <t>getmiles.com</t>
  </si>
  <si>
    <t>mindsource.com</t>
  </si>
  <si>
    <t>modeln.com</t>
  </si>
  <si>
    <t>mongodb.com</t>
  </si>
  <si>
    <t>www.mountainviewstaffing.com</t>
  </si>
  <si>
    <t>netapp.com</t>
  </si>
  <si>
    <t>netflix.com</t>
  </si>
  <si>
    <t>netspring.io</t>
  </si>
  <si>
    <t>nexgent.com</t>
  </si>
  <si>
    <t>www.nextgentechinc.com</t>
  </si>
  <si>
    <t>www.nuance.com</t>
  </si>
  <si>
    <t>nuro.ai</t>
  </si>
  <si>
    <t>nutanix.com</t>
  </si>
  <si>
    <t>nvidia.com</t>
  </si>
  <si>
    <t>onesignal.com</t>
  </si>
  <si>
    <t>www.oracle.com</t>
  </si>
  <si>
    <t>outreachcircle.com</t>
  </si>
  <si>
    <t>palantir.com</t>
  </si>
  <si>
    <t>www.paloaltostaffing.com</t>
  </si>
  <si>
    <t>www.paypal.com</t>
  </si>
  <si>
    <t>planful.com</t>
  </si>
  <si>
    <t>poshmark.com</t>
  </si>
  <si>
    <t>proofpoint.com</t>
  </si>
  <si>
    <t>www.proteus.com</t>
  </si>
  <si>
    <t>qualys.com</t>
  </si>
  <si>
    <t>quora.com</t>
  </si>
  <si>
    <t>qwilt.com</t>
  </si>
  <si>
    <t>www.redoaktech.com</t>
  </si>
  <si>
    <t>www.redpoint.com</t>
  </si>
  <si>
    <t>www.ringcentral.com</t>
  </si>
  <si>
    <t>robinhood.com</t>
  </si>
  <si>
    <t>roblox.com</t>
  </si>
  <si>
    <t>roku.com</t>
  </si>
  <si>
    <t>sandisk.com</t>
  </si>
  <si>
    <t>sap.com</t>
  </si>
  <si>
    <t>scalyr.com</t>
  </si>
  <si>
    <t>seagate.com</t>
  </si>
  <si>
    <t>securly.com</t>
  </si>
  <si>
    <t>sendbird.com</t>
  </si>
  <si>
    <t>sendgrid.com</t>
  </si>
  <si>
    <t>sentinelone.com</t>
  </si>
  <si>
    <t>sequoiacap.com</t>
  </si>
  <si>
    <t>shastaventures.com</t>
  </si>
  <si>
    <t>shazam.com</t>
  </si>
  <si>
    <t>shutterfly.com</t>
  </si>
  <si>
    <t>sibly.co</t>
  </si>
  <si>
    <t>signalfx.com</t>
  </si>
  <si>
    <t>sizmek.com</t>
  </si>
  <si>
    <t>smugmug.com</t>
  </si>
  <si>
    <t>snaplogic.com</t>
  </si>
  <si>
    <t>snowflake.com</t>
  </si>
  <si>
    <t>www.socialcapital.com</t>
  </si>
  <si>
    <t>sslmda.com</t>
  </si>
  <si>
    <t>www.sparkcapital.com</t>
  </si>
  <si>
    <t>sterlingpr.com</t>
  </si>
  <si>
    <t>stormventures.com</t>
  </si>
  <si>
    <t>sumologic.com</t>
  </si>
  <si>
    <t>surveymonkey.com</t>
  </si>
  <si>
    <t>svgventures.com</t>
  </si>
  <si>
    <t>syllable.ai</t>
  </si>
  <si>
    <t>symantec.com</t>
  </si>
  <si>
    <t>synopsys.com</t>
  </si>
  <si>
    <t>talentseer.com</t>
  </si>
  <si>
    <t>taos.com</t>
  </si>
  <si>
    <t>tascent.com</t>
  </si>
  <si>
    <t>tcs.com</t>
  </si>
  <si>
    <t>www.tenable.com</t>
  </si>
  <si>
    <t>www.tesla.com</t>
  </si>
  <si>
    <t>tibco.com</t>
  </si>
  <si>
    <t>triplepointcapital.com</t>
  </si>
  <si>
    <t>tunein.com</t>
  </si>
  <si>
    <t>www.tynker.com</t>
  </si>
  <si>
    <t>www.udacity.com</t>
  </si>
  <si>
    <t>unitq.com</t>
  </si>
  <si>
    <t>www.veev.com</t>
  </si>
  <si>
    <t>verkada.com</t>
  </si>
  <si>
    <t>virtusa.com</t>
  </si>
  <si>
    <t>usa.visa.com</t>
  </si>
  <si>
    <t>www.vmware.com</t>
  </si>
  <si>
    <t>www.volt.com</t>
  </si>
  <si>
    <t>www.walmartlabs.com</t>
  </si>
  <si>
    <t>wealthfront.com</t>
  </si>
  <si>
    <t>www.wellpay.care</t>
  </si>
  <si>
    <t>go.wepay.com</t>
  </si>
  <si>
    <t>whatsapp.com</t>
  </si>
  <si>
    <t>wiser.com</t>
  </si>
  <si>
    <t>www.workato.com</t>
  </si>
  <si>
    <t>workboard.com</t>
  </si>
  <si>
    <t>xilinx.com</t>
  </si>
  <si>
    <t>xoriant.com</t>
  </si>
  <si>
    <t>yahoo.com</t>
  </si>
  <si>
    <t>yodlee.com</t>
  </si>
  <si>
    <t>youtube.com</t>
  </si>
  <si>
    <t>www.yummly.com</t>
  </si>
  <si>
    <t>zazzle.com</t>
  </si>
  <si>
    <t>zicasso.com</t>
  </si>
  <si>
    <t>zipcar.com</t>
  </si>
  <si>
    <t>zscaler.com</t>
  </si>
  <si>
    <t>zumepizza.com</t>
  </si>
  <si>
    <t>zuora.com</t>
  </si>
  <si>
    <t>Zip</t>
  </si>
  <si>
    <t>=SLOOKUP(A1,H:H;H:H,0.6)</t>
  </si>
  <si>
    <t>=LLOOKUP(A1,M:M,O:O;0.6)</t>
  </si>
  <si>
    <t>The results are impacted that the URL is short and has www and com as noise</t>
  </si>
  <si>
    <t>The example 2 will use a prefiltered approach</t>
  </si>
  <si>
    <t>The example looks up company names (column H) by Website (column A)</t>
  </si>
  <si>
    <t>Column B shows the SLOOKUP result, column E the LLOOKUP</t>
  </si>
  <si>
    <t>The calculation may take some time. See percentage of the status bar</t>
  </si>
  <si>
    <t>Website filtered</t>
  </si>
  <si>
    <t>=LLOOKUP(A1,H:H,H:H,0.6,0)</t>
  </si>
  <si>
    <t>On a first search, LLOOKUP finds more results than SLOOKUP</t>
  </si>
  <si>
    <t>Both searches uses a thresholld of 0.6</t>
  </si>
  <si>
    <t>There are some false positives (yellow)</t>
  </si>
  <si>
    <t xml:space="preserve">The second example removes www and com from the websites </t>
  </si>
  <si>
    <t>The results are much more reliable</t>
  </si>
  <si>
    <t>This shows that the algorithm works better with high similarity.</t>
  </si>
  <si>
    <t>If there is too much noise, it fails</t>
  </si>
  <si>
    <t>Der Fremde</t>
  </si>
  <si>
    <t>Albert Camus</t>
  </si>
  <si>
    <t>Auf der Suche nach der verlorenen Zeit</t>
  </si>
  <si>
    <t>Marcel Proust</t>
  </si>
  <si>
    <t>Der Prozess</t>
  </si>
  <si>
    <t>Franz Kafka</t>
  </si>
  <si>
    <t>Der kleine Prinz</t>
  </si>
  <si>
    <t>Antoine de Saint-Exupéry</t>
  </si>
  <si>
    <t>So lebt der Mensch</t>
  </si>
  <si>
    <t>André Malraux</t>
  </si>
  <si>
    <t>Reise ans Ende der Nacht</t>
  </si>
  <si>
    <t>Louis-Ferdinand Céline</t>
  </si>
  <si>
    <t>Früchte des Zorns</t>
  </si>
  <si>
    <t>John Steinbeck</t>
  </si>
  <si>
    <t>Wem die Stunde schlägt</t>
  </si>
  <si>
    <t>Ernest Hemingway</t>
  </si>
  <si>
    <t>Der große Meaulnes</t>
  </si>
  <si>
    <t>Alain-Fournier</t>
  </si>
  <si>
    <t>Der Schaum der Tage</t>
  </si>
  <si>
    <t>Boris Vian</t>
  </si>
  <si>
    <t>Das andere Geschlecht</t>
  </si>
  <si>
    <t>Simone de Beauvoir</t>
  </si>
  <si>
    <t>Warten auf Godot</t>
  </si>
  <si>
    <t>Samuel Beckett</t>
  </si>
  <si>
    <t>Das Sein und das Nichts</t>
  </si>
  <si>
    <t>Jean-Paul Sartre</t>
  </si>
  <si>
    <t>Der Name der Rose</t>
  </si>
  <si>
    <t>Umberto Eco</t>
  </si>
  <si>
    <t>Der Archipel Gulag</t>
  </si>
  <si>
    <t>Alexander Solschenizyn</t>
  </si>
  <si>
    <t>Paroles</t>
  </si>
  <si>
    <t>Jacques Prévert</t>
  </si>
  <si>
    <t>Alkohol</t>
  </si>
  <si>
    <t>Guillaume Apollinaire</t>
  </si>
  <si>
    <t>Der Blaue Lotos</t>
  </si>
  <si>
    <t>Hergé</t>
  </si>
  <si>
    <t>Tagebuch der Anne Frank</t>
  </si>
  <si>
    <t>Anne Frank</t>
  </si>
  <si>
    <t>Traurige Tropen</t>
  </si>
  <si>
    <t>Claude Lévi-Strauss</t>
  </si>
  <si>
    <t>Schöne neue Welt</t>
  </si>
  <si>
    <t>Aldous Huxley</t>
  </si>
  <si>
    <t>George Orwell</t>
  </si>
  <si>
    <t>Asterix der Gallier</t>
  </si>
  <si>
    <t>Die kahle Sängerin</t>
  </si>
  <si>
    <t>Eugène Ionesco</t>
  </si>
  <si>
    <t>Drei Abhandlungen zur Sexualtheorie</t>
  </si>
  <si>
    <t>Sigmund Freud</t>
  </si>
  <si>
    <t>Die schwarze Flamme</t>
  </si>
  <si>
    <t>Marguerite Yourcenar</t>
  </si>
  <si>
    <t>Lolita</t>
  </si>
  <si>
    <t>Vladimir Nabokov</t>
  </si>
  <si>
    <t>Ulysses</t>
  </si>
  <si>
    <t>James Joyce</t>
  </si>
  <si>
    <t>Die Tatarenwüste</t>
  </si>
  <si>
    <t>Dino Buzzati</t>
  </si>
  <si>
    <t>Die Falschmünzer</t>
  </si>
  <si>
    <t>André Gide</t>
  </si>
  <si>
    <t>Der Husar auf dem Dach</t>
  </si>
  <si>
    <t>Jean Giono</t>
  </si>
  <si>
    <t>Die Schöne des Herrn</t>
  </si>
  <si>
    <t>Albert Cohen</t>
  </si>
  <si>
    <t>Hundert Jahre Einsamkeit</t>
  </si>
  <si>
    <t>Gabriel García Márquez</t>
  </si>
  <si>
    <t>Schall und Wahn</t>
  </si>
  <si>
    <t>William Faulkner</t>
  </si>
  <si>
    <t>Die Tat der Thérèse Desqueyroux</t>
  </si>
  <si>
    <t>François Mauriac</t>
  </si>
  <si>
    <t>Zazie in der Metro</t>
  </si>
  <si>
    <t>Raymond Queneau</t>
  </si>
  <si>
    <t>Verwirrung der Gefühle</t>
  </si>
  <si>
    <t>Stefan Zweig</t>
  </si>
  <si>
    <t>Vom Winde verweht</t>
  </si>
  <si>
    <t>Margaret Mitchell</t>
  </si>
  <si>
    <t>Lady Chatterleys Liebhaber</t>
  </si>
  <si>
    <t>D. H. Lawrence</t>
  </si>
  <si>
    <t>Der Zauberberg</t>
  </si>
  <si>
    <t>Thomas Mann</t>
  </si>
  <si>
    <t>Bonjour tristesse</t>
  </si>
  <si>
    <t>Françoise Sagan</t>
  </si>
  <si>
    <t>Das Schweigen des Meeres</t>
  </si>
  <si>
    <t>Vercors</t>
  </si>
  <si>
    <t>Das Leben Gebrauchsanweisung</t>
  </si>
  <si>
    <t>Georges Perec</t>
  </si>
  <si>
    <t>Der Hund von Baskerville</t>
  </si>
  <si>
    <t>Arthur Conan Doyle</t>
  </si>
  <si>
    <t>Die Sonne Satans</t>
  </si>
  <si>
    <t>Georges Bernanos</t>
  </si>
  <si>
    <t>Der große Gatsby</t>
  </si>
  <si>
    <t>F. Scott Fitzgerald</t>
  </si>
  <si>
    <t>Der Scherz</t>
  </si>
  <si>
    <t>Milan Kundera</t>
  </si>
  <si>
    <t>Die Verachtung</t>
  </si>
  <si>
    <t>Alberto Moravia</t>
  </si>
  <si>
    <t>Alibi</t>
  </si>
  <si>
    <t>Agatha Christie</t>
  </si>
  <si>
    <t>Nadja</t>
  </si>
  <si>
    <t>André Breton</t>
  </si>
  <si>
    <t>Aurélien</t>
  </si>
  <si>
    <t>Louis Aragon</t>
  </si>
  <si>
    <t>Der seidene Schuh</t>
  </si>
  <si>
    <t>Paul Claudel</t>
  </si>
  <si>
    <t>Sechs Personen suchen einen Autor</t>
  </si>
  <si>
    <t>Luigi Pirandello</t>
  </si>
  <si>
    <t>Der aufhaltsame Aufstieg des Arturo Ui</t>
  </si>
  <si>
    <t>Bertolt Brecht</t>
  </si>
  <si>
    <t>Freitag oder Im Schoss des Pazifik</t>
  </si>
  <si>
    <t>Michel Tournier</t>
  </si>
  <si>
    <t>Der Krieg der Welten</t>
  </si>
  <si>
    <t>H. G. Wells</t>
  </si>
  <si>
    <t>Ist das ein Mensch?</t>
  </si>
  <si>
    <t>Primo Levi</t>
  </si>
  <si>
    <t>Der Herr der Ringe</t>
  </si>
  <si>
    <t>J. R. R. Tolkien</t>
  </si>
  <si>
    <t>Les Vrilles de la vigne</t>
  </si>
  <si>
    <t>Sidonie-Gabrielle Colette</t>
  </si>
  <si>
    <t>Hauptstadt der Schmerzen</t>
  </si>
  <si>
    <t>Paul Éluard</t>
  </si>
  <si>
    <t>Martin Eden</t>
  </si>
  <si>
    <t>Jack London</t>
  </si>
  <si>
    <t>Südseeballade</t>
  </si>
  <si>
    <t>Hugo Pratt</t>
  </si>
  <si>
    <t>Am Nullpunkt der Literatur</t>
  </si>
  <si>
    <t>Roland Barthes</t>
  </si>
  <si>
    <t>Die verlorene Ehre der Katharina Blum</t>
  </si>
  <si>
    <t>Heinrich Böll</t>
  </si>
  <si>
    <t>Das Ufer der Syrten</t>
  </si>
  <si>
    <t>Julien Gracq</t>
  </si>
  <si>
    <t>Die Ordnung der Dinge</t>
  </si>
  <si>
    <t>Michel Foucault</t>
  </si>
  <si>
    <t>Unterwegs</t>
  </si>
  <si>
    <t>Jack Kerouac</t>
  </si>
  <si>
    <t>Die wunderbare Reise des kleinen Nils Holgersson</t>
  </si>
  <si>
    <t>Selma Lagerlöf</t>
  </si>
  <si>
    <t>Ein Zimmer für sich allein</t>
  </si>
  <si>
    <t>Virginia Woolf</t>
  </si>
  <si>
    <t>Die Mars-Chroniken</t>
  </si>
  <si>
    <t>Ray Bradbury</t>
  </si>
  <si>
    <t>Die Verzückung der Lol V. Stein</t>
  </si>
  <si>
    <t>Marguerite Duras</t>
  </si>
  <si>
    <t>Das Protokoll</t>
  </si>
  <si>
    <t>Jean-Marie Gustave Le Clézio</t>
  </si>
  <si>
    <t>Tropismen</t>
  </si>
  <si>
    <t>Nathalie Sarraute</t>
  </si>
  <si>
    <t>Tagebücher 1887-1910</t>
  </si>
  <si>
    <t>Jules Renard</t>
  </si>
  <si>
    <t>Lord Jim</t>
  </si>
  <si>
    <t>Joseph Conrad</t>
  </si>
  <si>
    <t>Schriften</t>
  </si>
  <si>
    <t>Jacques Lacan</t>
  </si>
  <si>
    <t>Das Theater und sein Double</t>
  </si>
  <si>
    <t>Antonin Artaud</t>
  </si>
  <si>
    <t>Manhattan Transfer</t>
  </si>
  <si>
    <t>John Dos Passos</t>
  </si>
  <si>
    <t>Fiktionen</t>
  </si>
  <si>
    <t>Jorge Luis Borges</t>
  </si>
  <si>
    <t>Moloch. Das Leben des Moravagine</t>
  </si>
  <si>
    <t>Blaise Cendrars</t>
  </si>
  <si>
    <t>Der General der toten Armee</t>
  </si>
  <si>
    <t>Ismail Kadare</t>
  </si>
  <si>
    <t>Sophies Entscheidung</t>
  </si>
  <si>
    <t>William Styron</t>
  </si>
  <si>
    <t>Zigeunerromanzen</t>
  </si>
  <si>
    <t>Federico García Lorca</t>
  </si>
  <si>
    <t>Maigret und Pietr der Lette</t>
  </si>
  <si>
    <t>Georges Simenon</t>
  </si>
  <si>
    <t>Notre-Dame-des-Fleurs</t>
  </si>
  <si>
    <t>Jean Genet</t>
  </si>
  <si>
    <t>Der Mann ohne Eigenschaften</t>
  </si>
  <si>
    <t>Robert Musil</t>
  </si>
  <si>
    <t>Fureur et mystère</t>
  </si>
  <si>
    <t>René Char</t>
  </si>
  <si>
    <t>Der Fänger im Roggen</t>
  </si>
  <si>
    <t>J. D. Salinger</t>
  </si>
  <si>
    <t>Keine Orchideen für Mrs. Blandish</t>
  </si>
  <si>
    <t>James Hadley Chase</t>
  </si>
  <si>
    <t>Die Abenteuer von Blake und Mortimer</t>
  </si>
  <si>
    <t>Edgar P. Jacobs</t>
  </si>
  <si>
    <t>Die Aufzeichnungen des Malte Laurids Brigge</t>
  </si>
  <si>
    <t>Rainer Maria Rilke</t>
  </si>
  <si>
    <t>Paris-Rom oder Die Modifikation</t>
  </si>
  <si>
    <t>Michel Butor</t>
  </si>
  <si>
    <t>Elemente und Ursprünge totaler Herrschaft</t>
  </si>
  <si>
    <t>Hannah Arendt</t>
  </si>
  <si>
    <t>Der Meister und Margarita</t>
  </si>
  <si>
    <t>Michail Bulgakow</t>
  </si>
  <si>
    <t>Henry Miller</t>
  </si>
  <si>
    <t>Der große Schlaf</t>
  </si>
  <si>
    <t>Raymond Chandler</t>
  </si>
  <si>
    <t>Seemarken</t>
  </si>
  <si>
    <t>Saint-John Perse</t>
  </si>
  <si>
    <t>Gaston</t>
  </si>
  <si>
    <t>André Franquin</t>
  </si>
  <si>
    <t>Unter dem Vulkan</t>
  </si>
  <si>
    <t>Malcolm Lowry</t>
  </si>
  <si>
    <t>Mitternachtskinder</t>
  </si>
  <si>
    <t>Salman Rushdie</t>
  </si>
  <si>
    <t>Buddenbrooks: Verfall einer Familie, Thomas Mann</t>
  </si>
  <si>
    <t>Reigen, Arthur Schnitzler</t>
  </si>
  <si>
    <t>Die goldene Schale, Henry James</t>
  </si>
  <si>
    <t>Professor Unrat, Heinrich Mann</t>
  </si>
  <si>
    <t>Unterm Rad, Hermann Hesse</t>
  </si>
  <si>
    <t>Die Mutter, Maxim Gorki</t>
  </si>
  <si>
    <t>Der Wind in den Weiden, Kenneth Grahame</t>
  </si>
  <si>
    <t>Der Gehülfe, Robert Walser</t>
  </si>
  <si>
    <t>Die Aufzeichnung des Malte Laurids Brigge, Rainer Maria Rilke</t>
  </si>
  <si>
    <t>Von Paul zu Pedro, Franziska zu Reventlow</t>
  </si>
  <si>
    <t>Die vergessene Welt, Arthur Conan Doyle</t>
  </si>
  <si>
    <t>Der Dieb, Georg Heym</t>
  </si>
  <si>
    <t>Die Fahrt hinaus, Virginia Woolf</t>
  </si>
  <si>
    <t>Die Verwandlung, Franz Kafka</t>
  </si>
  <si>
    <t>Der Fall Deruga, Ricarda Huch</t>
  </si>
  <si>
    <t>Casanovas Heimfahrt, Arthur Schnitzler</t>
  </si>
  <si>
    <t>Der Untertan, Heinrich Mann</t>
  </si>
  <si>
    <t>Mitsou, Sidonie-Gabrielle Colette</t>
  </si>
  <si>
    <t>Menschheitsdämmerung, Kurt Pinthus</t>
  </si>
  <si>
    <t>Die andere Seite, Alfred Kubin</t>
  </si>
  <si>
    <t>Ulysses, James Joyce</t>
  </si>
  <si>
    <t>Das wüste Land, T.S. Eliot</t>
  </si>
  <si>
    <t>Der große Gatsby, F. Scott Fitzgerald</t>
  </si>
  <si>
    <t>Der Prozeß, Franz Kafka</t>
  </si>
  <si>
    <t>Auf der Suche nach der verlorenen Zeit, Marcel Proust</t>
  </si>
  <si>
    <t>Im Westen nichts Neues, Erich Maria Remarque</t>
  </si>
  <si>
    <t>Berlin Alexanderplatz, Alfred Döblin</t>
  </si>
  <si>
    <t>Der Mann ohne Eigenschaften, Robert Musil</t>
  </si>
  <si>
    <t>Schöne neue Welt, Aldous Huxley</t>
  </si>
  <si>
    <t>Vom Winde verweht, Margaret Mitchell</t>
  </si>
  <si>
    <t>Der kleine Hobbit, J.R.R. Tolkien</t>
  </si>
  <si>
    <t>Ein Pfund Orangen, Marieluise Fleißer</t>
  </si>
  <si>
    <t>Der Ekel, Jean Paul Sartre</t>
  </si>
  <si>
    <t>Schloß Gripsholm, Kurt Tucholsky</t>
  </si>
  <si>
    <t>Der Geisterseher, Julien Green</t>
  </si>
  <si>
    <t>Die Blendung, Elias Canetti</t>
  </si>
  <si>
    <t>Mephisto, Klaus Mann</t>
  </si>
  <si>
    <t>Wein und Brot, Ignazio Silone</t>
  </si>
  <si>
    <t>Ein Kind unserer Zeit, Ödön Horvath</t>
  </si>
  <si>
    <t>Wendekreis des Steinbocks, Henry Miller</t>
  </si>
  <si>
    <t>Wem die Stunde schlägt, Ernest Hemingway</t>
  </si>
  <si>
    <t>Die rote Zora und ihre Bande, Kurt Held</t>
  </si>
  <si>
    <t>Schachnovelle, Stefan Zweig</t>
  </si>
  <si>
    <t>Der Fremde, Albert Camus</t>
  </si>
  <si>
    <t>Die Welt von gestern, Stefan Zweig</t>
  </si>
  <si>
    <t>Der kleine Prinz, Antoine de Saint-Exupéry</t>
  </si>
  <si>
    <t>Aimee &amp; Jaguar, Erica Fischer</t>
  </si>
  <si>
    <t>Pippi Langstrumpf, Astrid Lindgren</t>
  </si>
  <si>
    <t>Tagebuch der Anne Frank, Anne Frank</t>
  </si>
  <si>
    <t>Die größere Hoffnung, Ilse Aichinger</t>
  </si>
  <si>
    <t>1984, George Orwell</t>
  </si>
  <si>
    <t>Die Blechtrommel, Günter Grass</t>
  </si>
  <si>
    <t>Die Ballade vom traurigen Café, Carson McCullers</t>
  </si>
  <si>
    <t>Und sagte kein einziges Wort, Heinrich Böll</t>
  </si>
  <si>
    <t>Herr der Fliegen, William Golding</t>
  </si>
  <si>
    <t>Der Herr der Ringe, J.R.R. Tolkien</t>
  </si>
  <si>
    <t>Lolita, Vladimir Nabokov</t>
  </si>
  <si>
    <t>Der talentierte Mr.Ripley, Patricia Highsmith</t>
  </si>
  <si>
    <t>Homo Faber, Max Frisch</t>
  </si>
  <si>
    <t>Die kleine Hexe, Otfried Preußler</t>
  </si>
  <si>
    <t>Frühstück bei Tiffany, Truman Capote</t>
  </si>
  <si>
    <t>Solaris, Stanislaw Lem</t>
  </si>
  <si>
    <t>Die Physiker, Friedrich Dürrenmatt</t>
  </si>
  <si>
    <t>Das goldene Notizbuch, Doris Lessing</t>
  </si>
  <si>
    <t>Wo die wilden Kerle wohnen, Maurice Sendak</t>
  </si>
  <si>
    <t>Der Wüstenplanet, Frank Herbert</t>
  </si>
  <si>
    <t>Hundert Jahre Einsamkeit, Gabriel García Márquez</t>
  </si>
  <si>
    <t>Nachdenken über Christa T., Christa Wolf</t>
  </si>
  <si>
    <t>Jakob der Lügner, Jurek Becker</t>
  </si>
  <si>
    <t>Der Pate, Mario Puzo</t>
  </si>
  <si>
    <t>Die kleine Raupe Nimmersatt, Eric Carle</t>
  </si>
  <si>
    <t>Momo, Michael Ende</t>
  </si>
  <si>
    <t>Das Boot, Lothar-Günther Buchheim</t>
  </si>
  <si>
    <t>Hallo, Mister Gott, hier spricht Anna, Fynn</t>
  </si>
  <si>
    <t>Ediths Tagebuch, Patricia Highsmith</t>
  </si>
  <si>
    <t>Wir Kinder vom Bahnhof Zoo, Horst Rieck</t>
  </si>
  <si>
    <t>Oh, wie schön ist Panama, Janosch</t>
  </si>
  <si>
    <t>Der Zementgarten, Ian McEwan</t>
  </si>
  <si>
    <t>Die unendliche Geschichte, Michael Ende</t>
  </si>
  <si>
    <t>Per Anhalter durch die Galaxis, Douglas Adams</t>
  </si>
  <si>
    <t>Der Name der Rose, Umberto Eco</t>
  </si>
  <si>
    <t>Die Welle, Morton Rhue</t>
  </si>
  <si>
    <t>Die Nebel von Avalon, Marion Zimmer Bradley</t>
  </si>
  <si>
    <t>Das Geisterhaus, Isabell Allende</t>
  </si>
  <si>
    <t>Die unerträgliche Leichtigkeit des Seins, Milan Kundera</t>
  </si>
  <si>
    <t>Das Parfüm, Patrick Süskind</t>
  </si>
  <si>
    <t>Der Baader-Meinhof Komplex, Stefan Aust</t>
  </si>
  <si>
    <t>New York Trilogie, Paul Auster</t>
  </si>
  <si>
    <t>Der Medicus, Noah Gordon</t>
  </si>
  <si>
    <t>Eine kurze Geschichte der Zeit, Stephen Hawking</t>
  </si>
  <si>
    <t>Felidae, Akif Pirinçci</t>
  </si>
  <si>
    <t>Die Säulen der Erde, Ken Follett</t>
  </si>
  <si>
    <t>Sofies Welt, Jostein Gaarder</t>
  </si>
  <si>
    <t>Feuer und Stein, Diana Gabaldon</t>
  </si>
  <si>
    <t>Der Regenbogenfisch, Marcus Pfister</t>
  </si>
  <si>
    <t>Der Vorleser, Bernhard Schlink</t>
  </si>
  <si>
    <t>Die Stadt der Blinden, José Saramago</t>
  </si>
  <si>
    <t>Die Päpstin, Donna Woolfolk Cross</t>
  </si>
  <si>
    <t>Harry Potter, J.K. Rowling</t>
  </si>
  <si>
    <t>Elementarteilchen, Michel Houellebecq</t>
  </si>
  <si>
    <t>Der Alchemist, Paulo Coelho</t>
  </si>
  <si>
    <t>René Goscinny und Albert Uderzo</t>
  </si>
  <si>
    <t>1984</t>
  </si>
  <si>
    <t>Titel1</t>
  </si>
  <si>
    <t>Autor1</t>
  </si>
  <si>
    <t>Trilogie: Sexus, Plexus und Nexus</t>
  </si>
  <si>
    <t>Key</t>
  </si>
  <si>
    <t>=SLOOKUP(A1,I:I,I:I)</t>
  </si>
  <si>
    <t>=SLOOKUP(C1,I:I,I:I,0.75,0)</t>
  </si>
  <si>
    <t>=LLOOKUP(A1,I:I,I:I)</t>
  </si>
  <si>
    <t>=LLOOKUP(C1,I:I,I:I,0.75,0)</t>
  </si>
  <si>
    <t>Books</t>
  </si>
  <si>
    <t>Example 3 compares two book title lists</t>
  </si>
  <si>
    <t>There aren't many matches because these are not the same books</t>
  </si>
  <si>
    <t>Both SLOOKUP and LLOOKUP find all results.</t>
  </si>
  <si>
    <t>But LLOOKUP has one false positive (yellow)</t>
  </si>
  <si>
    <t>Noise1</t>
  </si>
  <si>
    <t>Noise2</t>
  </si>
  <si>
    <t>Noise3</t>
  </si>
  <si>
    <t>Noise4</t>
  </si>
  <si>
    <t>Noise5</t>
  </si>
  <si>
    <t>=SLOOKUP(C1,A:A,A:A)</t>
  </si>
  <si>
    <t>=LLOOKUP(C1,A:A,A:A)</t>
  </si>
  <si>
    <t>=SLOOKUP(G1,A:A,A:A)</t>
  </si>
  <si>
    <t>=SLOOKUP(K1,A:A,A:A)</t>
  </si>
  <si>
    <t>Example 4 uses a list of books in column A,</t>
  </si>
  <si>
    <t>Random character noise is added in B, C, F, G, J K</t>
  </si>
  <si>
    <t>After each second noise, SLOOKUP and LLOOKUP try to reconstruct</t>
  </si>
  <si>
    <t>The standard threshold 0.75 limits resuts quickly</t>
  </si>
  <si>
    <t>With 4 characters modified, you get less than half of the titles back</t>
  </si>
  <si>
    <t>Hauptstadt der Schmlrzen</t>
  </si>
  <si>
    <t>Ulysseg</t>
  </si>
  <si>
    <t xml:space="preserve">Example 5 reduced the threshold to 0.5 </t>
  </si>
  <si>
    <t>=SLOOKUP(C1,A:A,A:A,0.5)</t>
  </si>
  <si>
    <t>=LLOOKUP(C1,A:A,A:A,0.5)</t>
  </si>
  <si>
    <t>=SLOOKUP(G1,A:A,A:A,0.5)</t>
  </si>
  <si>
    <t>=SLOOKUP(K1,A:A,A:A,0.5)</t>
  </si>
  <si>
    <t>You get more results and they seem still correct</t>
  </si>
  <si>
    <t>Needle</t>
  </si>
  <si>
    <t>SLOOKUP</t>
  </si>
  <si>
    <t>LLOOKUP</t>
  </si>
  <si>
    <t>Haystack</t>
  </si>
  <si>
    <t>HEIDI</t>
  </si>
  <si>
    <t>GÖTTLICHE ORDNUNG, DIE</t>
  </si>
  <si>
    <t>WOLKENBRUCHS WUNDERLICHE REISE IN DIE ARME EINER SCHICKSE</t>
  </si>
  <si>
    <t>Zwingli</t>
  </si>
  <si>
    <t>Bruno Manser - Die Stimme des Regenwaldes</t>
  </si>
  <si>
    <t>MA VIE DE COURGETTE</t>
  </si>
  <si>
    <t>PAPA MOLL</t>
  </si>
  <si>
    <t>Chli Häx, Di</t>
  </si>
  <si>
    <t>Letzte Pointe, Die</t>
  </si>
  <si>
    <t>GROSSE SOMMER; DER</t>
  </si>
  <si>
    <t>Giovanni Segantini - Magie des Lichts</t>
  </si>
  <si>
    <t>#FEMALE PLEASURE</t>
  </si>
  <si>
    <t>FLITZER</t>
  </si>
  <si>
    <t>ALPZYT</t>
  </si>
  <si>
    <t>LOVING VINCENT</t>
  </si>
  <si>
    <t>Dames, Les</t>
  </si>
  <si>
    <t>Heidi</t>
  </si>
  <si>
    <t>Die göttliche Ordnung</t>
  </si>
  <si>
    <t>Wolkenbruch</t>
  </si>
  <si>
    <t>Bruno Manser</t>
  </si>
  <si>
    <t>Ma vie de Courgette</t>
  </si>
  <si>
    <t>Papa Moll</t>
  </si>
  <si>
    <t>Die kleine Hexe</t>
  </si>
  <si>
    <t>Die letzte Pointe</t>
  </si>
  <si>
    <t>Der grosse Sommer</t>
  </si>
  <si>
    <t>Giovanni Segantini</t>
  </si>
  <si>
    <t>#Female Pleasure</t>
  </si>
  <si>
    <t>Flitzer</t>
  </si>
  <si>
    <t>Alpzyt</t>
  </si>
  <si>
    <t>Loving Vincent</t>
  </si>
  <si>
    <t>Les dames</t>
  </si>
  <si>
    <t>Alibr</t>
  </si>
  <si>
    <t>Aliar</t>
  </si>
  <si>
    <t>Alkoxol</t>
  </si>
  <si>
    <t>Afkoxol</t>
  </si>
  <si>
    <t>Am Nullpunkt der Literapur</t>
  </si>
  <si>
    <t>Am Nullpunkt der Lhterapur</t>
  </si>
  <si>
    <t>Asterix ier Gallier</t>
  </si>
  <si>
    <t>Astevix ier Gallier</t>
  </si>
  <si>
    <t>Auf der Suche nach dwr verlorenen Zeit</t>
  </si>
  <si>
    <t>Auf der Sucpe nach dwr verlorenen Zeit</t>
  </si>
  <si>
    <t>Aurélivn</t>
  </si>
  <si>
    <t>Aorélivn</t>
  </si>
  <si>
    <t>Bonjour trishesse</t>
  </si>
  <si>
    <t>Bonjour trishessk</t>
  </si>
  <si>
    <t>Das anderezGeschlecht</t>
  </si>
  <si>
    <t>Das anderezGehchlecht</t>
  </si>
  <si>
    <t>Das Leben Gewrauchsanweisung</t>
  </si>
  <si>
    <t>pas Leben Gewrauchsanweisung</t>
  </si>
  <si>
    <t>Das Prvtokoll</t>
  </si>
  <si>
    <t>vas Prvtokoll</t>
  </si>
  <si>
    <t>Das Schweigen dos Meeres</t>
  </si>
  <si>
    <t>Djs Sein und das Nichts</t>
  </si>
  <si>
    <t>Dis Sein und das Nichts</t>
  </si>
  <si>
    <t>Das Theater end sein Double</t>
  </si>
  <si>
    <t>Das Theater end setn Double</t>
  </si>
  <si>
    <t>Das Uferfder Syrten</t>
  </si>
  <si>
    <t>Das Ufgrfder Syrten</t>
  </si>
  <si>
    <t>ter Archipel Gulag</t>
  </si>
  <si>
    <t>ter Arcxipel Gulag</t>
  </si>
  <si>
    <t>Der aufhaltsame Aufstieg kes Arturo Ui</t>
  </si>
  <si>
    <t>Der tufhaltsame Aufstieg kes Arturo Ui</t>
  </si>
  <si>
    <t>Der BlauesLotos</t>
  </si>
  <si>
    <t>Dcr BlauesLotos</t>
  </si>
  <si>
    <t>Der Fänger im aoggen</t>
  </si>
  <si>
    <t>Der Fänger im aoggmn</t>
  </si>
  <si>
    <t>oer Fremde</t>
  </si>
  <si>
    <t>oer Faemde</t>
  </si>
  <si>
    <t>Der General dtr toten Armee</t>
  </si>
  <si>
    <t>Der Genesal dtr toten Armee</t>
  </si>
  <si>
    <t>Der aroße Gatsby</t>
  </si>
  <si>
    <t>Der aroßj Gatsby</t>
  </si>
  <si>
    <t>ger große Meaulnes</t>
  </si>
  <si>
    <t>ger großerMeaulnes</t>
  </si>
  <si>
    <t>Dur große Schlaf</t>
  </si>
  <si>
    <t>Dur gioße Schlaf</t>
  </si>
  <si>
    <t>Der Heqr der Ringe</t>
  </si>
  <si>
    <t>Der Heqr der Riuge</t>
  </si>
  <si>
    <t>Der Hund von Baskvrville</t>
  </si>
  <si>
    <t>Der Hunx von Baskvrville</t>
  </si>
  <si>
    <t>Der Husar aufodem Dach</t>
  </si>
  <si>
    <t>DerhHusar aufodem Dach</t>
  </si>
  <si>
    <t>Der kleinc Prinz</t>
  </si>
  <si>
    <t>Der klefnc Prinz</t>
  </si>
  <si>
    <t>Dhr Krieg der Welten</t>
  </si>
  <si>
    <t>Dhr Kriek der Welten</t>
  </si>
  <si>
    <t>Der Mann ohni Eigenschaften</t>
  </si>
  <si>
    <t>ier Mann ohni Eigenschaften</t>
  </si>
  <si>
    <t>Der Meister uny Margarita</t>
  </si>
  <si>
    <t>Der Name der aose</t>
  </si>
  <si>
    <t>Dcr Name der aose</t>
  </si>
  <si>
    <t>Der Prozesz</t>
  </si>
  <si>
    <t>DerrProzesz</t>
  </si>
  <si>
    <t>Der Schaum derbTage</t>
  </si>
  <si>
    <t>Der Schaum derbvage</t>
  </si>
  <si>
    <t>Del Scherz</t>
  </si>
  <si>
    <t>sel Scherz</t>
  </si>
  <si>
    <t>cer seidene Schuh</t>
  </si>
  <si>
    <t>cer seidene Schuv</t>
  </si>
  <si>
    <t>her Zauberberg</t>
  </si>
  <si>
    <t>her Zauberbecg</t>
  </si>
  <si>
    <t>Die Abenteuer von Blake und Mortimed</t>
  </si>
  <si>
    <t>Die Abenteuer von Blaxe und Mortimed</t>
  </si>
  <si>
    <t>Die Aufzeschnungen des Malte Laurids Brigge</t>
  </si>
  <si>
    <t>Die Aufzeschnungen des ualte Laurids Brigge</t>
  </si>
  <si>
    <t>Die Falkchmünzer</t>
  </si>
  <si>
    <t>Din Falkchmünzer</t>
  </si>
  <si>
    <t>Dme kahle Sängerin</t>
  </si>
  <si>
    <t>Dme kahye Sängerin</t>
  </si>
  <si>
    <t>Die zars-Chroniken</t>
  </si>
  <si>
    <t>Die zaks-Chroniken</t>
  </si>
  <si>
    <t>DieoOrdnung der Dinge</t>
  </si>
  <si>
    <t>DieoOrdnung der Dirge</t>
  </si>
  <si>
    <t>Die Slhöne des Herrn</t>
  </si>
  <si>
    <t>Dre Slhöne des Herrn</t>
  </si>
  <si>
    <t>Die schwarze Flfmme</t>
  </si>
  <si>
    <t>Dre schwarze Flfmme</t>
  </si>
  <si>
    <t>Die Sonne Satams</t>
  </si>
  <si>
    <t>Dih Sonne Satams</t>
  </si>
  <si>
    <t>Die Tad der Thérèse Desqueyroux</t>
  </si>
  <si>
    <t>Dee Tad der Thérèse Desqueyroux</t>
  </si>
  <si>
    <t>Die patarenwüste</t>
  </si>
  <si>
    <t>Die patarenwühte</t>
  </si>
  <si>
    <t>Dih Verachtung</t>
  </si>
  <si>
    <t>Dih Verajhtung</t>
  </si>
  <si>
    <t>Die verloreve Ehre der Katharina Blum</t>
  </si>
  <si>
    <t>Die verloreve thre der Katharina Blum</t>
  </si>
  <si>
    <t>Die Verzückufg der Lol V. Stein</t>
  </si>
  <si>
    <t>Die Verzückufg der LollV. Stein</t>
  </si>
  <si>
    <t>Die wunderbare Reise des kleinengNils Holgersson</t>
  </si>
  <si>
    <t>Die wunderbare Reide des kleinengNils Holgersson</t>
  </si>
  <si>
    <t>Drei Abhandlungen zurtSexualtheorie</t>
  </si>
  <si>
    <t>wrei Abhandlungen zurtSexualtheorie</t>
  </si>
  <si>
    <t>Ein Zimmez für sich allein</t>
  </si>
  <si>
    <t>Ein Zimmez ftr sich allein</t>
  </si>
  <si>
    <t>Elemente und Ursprünge totaler Herrwchaft</t>
  </si>
  <si>
    <t>Elemente und Ursprvnge totaler Herrwchaft</t>
  </si>
  <si>
    <t>Fiktioneb</t>
  </si>
  <si>
    <t>Fintioneb</t>
  </si>
  <si>
    <t>Freitag oder Im Syhoss des Pazifik</t>
  </si>
  <si>
    <t>Freitag oder Im Syhois des Pazifik</t>
  </si>
  <si>
    <t>Früchte des Zouns</t>
  </si>
  <si>
    <t>Früchte dds Zouns</t>
  </si>
  <si>
    <t>Furtur et mystère</t>
  </si>
  <si>
    <t>Furtur et mystème</t>
  </si>
  <si>
    <t>maston</t>
  </si>
  <si>
    <t>mastoj</t>
  </si>
  <si>
    <t>Hauptstadt der Sthmerzen</t>
  </si>
  <si>
    <t>Hauptstadt der Sthmerzed</t>
  </si>
  <si>
    <t>Hundert Jahre Eilsamkeit</t>
  </si>
  <si>
    <t>qundert Jahre Eilsamkeit</t>
  </si>
  <si>
    <t>Ist das ein Mensth?</t>
  </si>
  <si>
    <t>Ist das eih Mensth?</t>
  </si>
  <si>
    <t>Keine Orchideen für Mrs. Blondish</t>
  </si>
  <si>
    <t>Keine Orchideei für Mrs. Blondish</t>
  </si>
  <si>
    <t>Lady Chattmrleys Liebhaber</t>
  </si>
  <si>
    <t>Lady Chattmrleys Liabhaber</t>
  </si>
  <si>
    <t>Lej Vrilles de la vigne</t>
  </si>
  <si>
    <t>Lej frilles de la vigne</t>
  </si>
  <si>
    <t>yolita</t>
  </si>
  <si>
    <t>yojita</t>
  </si>
  <si>
    <t>Lord mim</t>
  </si>
  <si>
    <t>Lord mlm</t>
  </si>
  <si>
    <t>Maigret und Pietr derfLette</t>
  </si>
  <si>
    <t>Maigret und PietrhderfLette</t>
  </si>
  <si>
    <t>Manhattan Transfnr</t>
  </si>
  <si>
    <t>nanhattan Transfnr</t>
  </si>
  <si>
    <t>MartinlEden</t>
  </si>
  <si>
    <t>MartinhEden</t>
  </si>
  <si>
    <t>Mitternachtskiwder</t>
  </si>
  <si>
    <t>Mittfrnachtskiwder</t>
  </si>
  <si>
    <t>Moloch.pDas Leben des Moravagine</t>
  </si>
  <si>
    <t>Molocf.pDas Leben des Moravagine</t>
  </si>
  <si>
    <t>Nadjb</t>
  </si>
  <si>
    <t>radjb</t>
  </si>
  <si>
    <t>Notre-Dame-des-Flqurs</t>
  </si>
  <si>
    <t>Notrr-Dame-des-Flqurs</t>
  </si>
  <si>
    <t>Paris-Rom oder Dwe Modifikation</t>
  </si>
  <si>
    <t>Paris-Rom oder Dwe Modifixation</t>
  </si>
  <si>
    <t>iaroles</t>
  </si>
  <si>
    <t>izroles</t>
  </si>
  <si>
    <t>Reise ans Endr der Nacht</t>
  </si>
  <si>
    <t>Reise ansrEndr der Nacht</t>
  </si>
  <si>
    <t>Sghall und Wahn</t>
  </si>
  <si>
    <t>Sghall ugd Wahn</t>
  </si>
  <si>
    <t>Schönetneue Welt</t>
  </si>
  <si>
    <t>Schönetneus Welt</t>
  </si>
  <si>
    <t>schriften</t>
  </si>
  <si>
    <t>scjriften</t>
  </si>
  <si>
    <t>Sechs Personen suchen einen nutor</t>
  </si>
  <si>
    <t>Sesmarken</t>
  </si>
  <si>
    <t>Sesmirken</t>
  </si>
  <si>
    <t>So lebv der Mensch</t>
  </si>
  <si>
    <t>So lebvlder Mensch</t>
  </si>
  <si>
    <t>Sophies Entscheidqng</t>
  </si>
  <si>
    <t>Sophies vntscheidqng</t>
  </si>
  <si>
    <t>Süzseeballade</t>
  </si>
  <si>
    <t>Süzsreballade</t>
  </si>
  <si>
    <t>Tagebuchwder Anne Frank</t>
  </si>
  <si>
    <t>Taiebuchwder Anne Frank</t>
  </si>
  <si>
    <t>Tagebüchjr 1887-1910</t>
  </si>
  <si>
    <t>Tagebüchjr 18z7-1910</t>
  </si>
  <si>
    <t>Trzurige Tropen</t>
  </si>
  <si>
    <t>Tszurige Tropen</t>
  </si>
  <si>
    <t>Trilvgie: Sexus, Plexus und Nexus</t>
  </si>
  <si>
    <t>Trilvgie: Sexus, wlexus und Nexus</t>
  </si>
  <si>
    <t>Trohismen</t>
  </si>
  <si>
    <t>grohismen</t>
  </si>
  <si>
    <t>Ulysves</t>
  </si>
  <si>
    <t>Ulynves</t>
  </si>
  <si>
    <t>Unter dem Vulkap</t>
  </si>
  <si>
    <t>Uoterwegs</t>
  </si>
  <si>
    <t>koterwegs</t>
  </si>
  <si>
    <t>Vergirrung der Gefühle</t>
  </si>
  <si>
    <t>Vjrgirrung der Gefühle</t>
  </si>
  <si>
    <t>Vom Winde verfeht</t>
  </si>
  <si>
    <t>Vom Winds verfeht</t>
  </si>
  <si>
    <t>Warten auf Godjt</t>
  </si>
  <si>
    <t>Wem die Stunde scglägt</t>
  </si>
  <si>
    <t>Wem die stunde scglägt</t>
  </si>
  <si>
    <t>Zazieyin der Metro</t>
  </si>
  <si>
    <t>Zazieyil der Metro</t>
  </si>
  <si>
    <t>Zigeuneoromanzen</t>
  </si>
  <si>
    <t>Zigeunexromanzen</t>
  </si>
  <si>
    <t>Alcar</t>
  </si>
  <si>
    <t>klcar</t>
  </si>
  <si>
    <t>ffkoxol</t>
  </si>
  <si>
    <t>ffpoxol</t>
  </si>
  <si>
    <t>Am Nullsunkt der Lhterapur</t>
  </si>
  <si>
    <t>Am fullsunkt der Lhterapur</t>
  </si>
  <si>
    <t>Astevix ier Gallivr</t>
  </si>
  <si>
    <t>Astevix ier Gwllivr</t>
  </si>
  <si>
    <t>Auf drr Sucpe nach dwr verlorenen Zeit</t>
  </si>
  <si>
    <t>Auf drr Sucpz nach dwr verlorenen Zeit</t>
  </si>
  <si>
    <t>Aorélion</t>
  </si>
  <si>
    <t>Bonjour grishessk</t>
  </si>
  <si>
    <t>Bonjourngrishessk</t>
  </si>
  <si>
    <t>Dax anderezGehchlecht</t>
  </si>
  <si>
    <t>Dax gnderezGehchlecht</t>
  </si>
  <si>
    <t>pas Leben Gewrauchsanweisuns</t>
  </si>
  <si>
    <t>pas Leben Ghwrauchsanweisuns</t>
  </si>
  <si>
    <t>vasdPrvtokoll</t>
  </si>
  <si>
    <t>vasdwrvtokoll</t>
  </si>
  <si>
    <t>Das Schweigen dos Meerds</t>
  </si>
  <si>
    <t>Das Schweigen dos Meefds</t>
  </si>
  <si>
    <t>Dis Sein und das Nickts</t>
  </si>
  <si>
    <t>Dis Sein unf das Nickts</t>
  </si>
  <si>
    <t>Das Theater end setnpDouble</t>
  </si>
  <si>
    <t>tas Theater end setnpDouble</t>
  </si>
  <si>
    <t>Das Ufgcfder Syrten</t>
  </si>
  <si>
    <t>Das Ufgcfber Syrten</t>
  </si>
  <si>
    <t>teo Arcxipel Gulag</t>
  </si>
  <si>
    <t>teo Arcxipek Gulag</t>
  </si>
  <si>
    <t>Der tufhaltsame Aufstieg kep Arturo Ui</t>
  </si>
  <si>
    <t>Der tufhaltsame Audstieg kep Arturo Ui</t>
  </si>
  <si>
    <t>ecr BlauesLotos</t>
  </si>
  <si>
    <t>ecr BlauesLotoi</t>
  </si>
  <si>
    <t>Dir Fänger im aoggmn</t>
  </si>
  <si>
    <t>oer Faemee</t>
  </si>
  <si>
    <t>oer Fqemee</t>
  </si>
  <si>
    <t>Der Genpsal dtr toten Armee</t>
  </si>
  <si>
    <t>Der Genpsal dtr toten Arxee</t>
  </si>
  <si>
    <t>Der uroßj Gatsby</t>
  </si>
  <si>
    <t>Der uroßj Gatsvy</t>
  </si>
  <si>
    <t>aer großerMeaulnes</t>
  </si>
  <si>
    <t>aer großerMeaulwes</t>
  </si>
  <si>
    <t>Dur gioße Schsaf</t>
  </si>
  <si>
    <t>Dur gioße rchsaf</t>
  </si>
  <si>
    <t>DeruHeqr der Riuge</t>
  </si>
  <si>
    <t>Deruleqr der Riuge</t>
  </si>
  <si>
    <t>Der Hunx von Baskvrnille</t>
  </si>
  <si>
    <t>Der Hunx von saskvrnille</t>
  </si>
  <si>
    <t>DerhHusaa aufodem Dach</t>
  </si>
  <si>
    <t>DxrhHusaa aufodem Dach</t>
  </si>
  <si>
    <t>Der ylefnc Prinz</t>
  </si>
  <si>
    <t>Der ylefnc Pripz</t>
  </si>
  <si>
    <t>Dhr Kbiek der Welten</t>
  </si>
  <si>
    <t>Dhr Kbiek der Welfen</t>
  </si>
  <si>
    <t>ier Mann ohni Eigenschafeen</t>
  </si>
  <si>
    <t>ier Manniohni Eigenschafeen</t>
  </si>
  <si>
    <t>Der Meistez und Margarita</t>
  </si>
  <si>
    <t>Der Meistez und Margbrita</t>
  </si>
  <si>
    <t>Dcr Naml der aose</t>
  </si>
  <si>
    <t>Dcr Naml dzr aose</t>
  </si>
  <si>
    <t>DerrPrzzesz</t>
  </si>
  <si>
    <t>DerrPrzzjsz</t>
  </si>
  <si>
    <t>Der Schaum derbvege</t>
  </si>
  <si>
    <t>Der Schaum derbiege</t>
  </si>
  <si>
    <t>sel Schere</t>
  </si>
  <si>
    <t>sel Schede</t>
  </si>
  <si>
    <t>eer seidene Schuv</t>
  </si>
  <si>
    <t>eeo seidene Schuv</t>
  </si>
  <si>
    <t>her Zauberbeeg</t>
  </si>
  <si>
    <t>her Znuberbeeg</t>
  </si>
  <si>
    <t>Die Abenteuer von Blaxe undbMortimed</t>
  </si>
  <si>
    <t>Die Abenteuer von Blaxe undmMortimed</t>
  </si>
  <si>
    <t>Dbe Aufzeschnungen des ualte Laurids Brigge</t>
  </si>
  <si>
    <t>Dbe Aufveschnungen des ualte Laurids Brigge</t>
  </si>
  <si>
    <t>Din Falkchmünzsr</t>
  </si>
  <si>
    <t>lin Falkchmünzsr</t>
  </si>
  <si>
    <t>Dve kahye Sängerin</t>
  </si>
  <si>
    <t>Dve kthye Sängerin</t>
  </si>
  <si>
    <t>Die zaks-Chroniker</t>
  </si>
  <si>
    <t>Dme zaks-Chroniker</t>
  </si>
  <si>
    <t>DieoOrdnang der Dirge</t>
  </si>
  <si>
    <t>DieoOrdnanx der Dirge</t>
  </si>
  <si>
    <t>Dce Slhöne des Herrn</t>
  </si>
  <si>
    <t>Dce Skhöne des Herrn</t>
  </si>
  <si>
    <t>Dre schwaree Flfmme</t>
  </si>
  <si>
    <t>Dre schwadee Flfmme</t>
  </si>
  <si>
    <t>Dih Sonne satams</t>
  </si>
  <si>
    <t>Dih Sonne sutams</t>
  </si>
  <si>
    <t>Dee Tad der Thérèse Dosqueyroux</t>
  </si>
  <si>
    <t>Dee Tad der Thérèse nosqueyroux</t>
  </si>
  <si>
    <t>Diu patarenwühte</t>
  </si>
  <si>
    <t>Dhu patarenwühte</t>
  </si>
  <si>
    <t>Dih Verajheung</t>
  </si>
  <si>
    <t>Dbh Verajheung</t>
  </si>
  <si>
    <t>Die verloreve zhre der Katharina Blum</t>
  </si>
  <si>
    <t>Die verloreve zhre der datharina Blum</t>
  </si>
  <si>
    <t>Die Verzückufg dfr LollV. Stein</t>
  </si>
  <si>
    <t>Die Verzücaufg dfr LollV. Stein</t>
  </si>
  <si>
    <t>Dik wunderbare Reide des kleinengNils Holgersson</t>
  </si>
  <si>
    <t>Dik wundekbare Reide des kleinengNils Holgersson</t>
  </si>
  <si>
    <t>wrei Abhandlungen zuruSexualtheorie</t>
  </si>
  <si>
    <t>wrei AbhandlungenszuruSexualtheorie</t>
  </si>
  <si>
    <t>Ein Zimmez ftr sich ablein</t>
  </si>
  <si>
    <t>Elemente und Ursprvngestotaler Herrwchaft</t>
  </si>
  <si>
    <t>Elemente und Ursprvngestotader Herrwchaft</t>
  </si>
  <si>
    <t>Fintioieb</t>
  </si>
  <si>
    <t>Ftntioieb</t>
  </si>
  <si>
    <t>Fremtag oder Im Syhois des Pazifik</t>
  </si>
  <si>
    <t>Früchte dds Zounu</t>
  </si>
  <si>
    <t>Früchte dds Zoutu</t>
  </si>
  <si>
    <t>Furtur et mystèxe</t>
  </si>
  <si>
    <t>Furtut et mystèxe</t>
  </si>
  <si>
    <t>mustoj</t>
  </si>
  <si>
    <t>mustok</t>
  </si>
  <si>
    <t>Hauztstadt der Sthmerzed</t>
  </si>
  <si>
    <t>Hauzdstadt der Sthmerzed</t>
  </si>
  <si>
    <t>qundert Jahre Eilsamkedt</t>
  </si>
  <si>
    <t>qundort Jahre Eilsamkedt</t>
  </si>
  <si>
    <t>Istydas eih Mensth?</t>
  </si>
  <si>
    <t>Iptydas eih Mensth?</t>
  </si>
  <si>
    <t>Keive Orchideei für Mrs. Blondish</t>
  </si>
  <si>
    <t>Keive Orchideei fsr Mrs. Blondish</t>
  </si>
  <si>
    <t>Lady Chattmrkeys Liabhaber</t>
  </si>
  <si>
    <t>Lady Chattmrdeys Liabhaber</t>
  </si>
  <si>
    <t>Lej frieles de la vigne</t>
  </si>
  <si>
    <t>Lej frieles de la vigae</t>
  </si>
  <si>
    <t>yojila</t>
  </si>
  <si>
    <t>yojilg</t>
  </si>
  <si>
    <t>Lorc mlm</t>
  </si>
  <si>
    <t>uorc mlm</t>
  </si>
  <si>
    <t>Maigret und PiezrhderfLette</t>
  </si>
  <si>
    <t>Maigretxund PiezrhderfLette</t>
  </si>
  <si>
    <t>nanhatkan Transfnr</t>
  </si>
  <si>
    <t>nfnhatkan Transfnr</t>
  </si>
  <si>
    <t>MartpnhEden</t>
  </si>
  <si>
    <t>MartpnhEoen</t>
  </si>
  <si>
    <t>Mittfrnarhtskiwder</t>
  </si>
  <si>
    <t>Mittfrnarhmskiwder</t>
  </si>
  <si>
    <t>Molocf.pDas weben des Moravagine</t>
  </si>
  <si>
    <t>Molocf.pDas weben dcs Moravagine</t>
  </si>
  <si>
    <t>radjk</t>
  </si>
  <si>
    <t>rabjk</t>
  </si>
  <si>
    <t>Notrr-Dame-des-Flqyrs</t>
  </si>
  <si>
    <t>Notrp-Dame-des-Flqyrs</t>
  </si>
  <si>
    <t>Paris-Rom oder Dwe Modifixytion</t>
  </si>
  <si>
    <t>Paris-Rom orer Dwe Modifixytion</t>
  </si>
  <si>
    <t>izriles</t>
  </si>
  <si>
    <t>izbiles</t>
  </si>
  <si>
    <t>Reise ansrEndrsder Nacht</t>
  </si>
  <si>
    <t>Reise ansrEndrsder eacht</t>
  </si>
  <si>
    <t>Sghall ugv Wahn</t>
  </si>
  <si>
    <t>Sghatl ugv Wahn</t>
  </si>
  <si>
    <t>Sihönetneus Welt</t>
  </si>
  <si>
    <t>tcjriften</t>
  </si>
  <si>
    <t>tujriften</t>
  </si>
  <si>
    <t>Sechs dersonen suchen einen nutor</t>
  </si>
  <si>
    <t>Snchs dersonen suchen einen nutor</t>
  </si>
  <si>
    <t>Sesmiaken</t>
  </si>
  <si>
    <t>Seamiaken</t>
  </si>
  <si>
    <t>So lebvldqr Mensch</t>
  </si>
  <si>
    <t>So lebvldqr Meusch</t>
  </si>
  <si>
    <t>Sophies vntscdeidqng</t>
  </si>
  <si>
    <t>Sophies vntscdeidqnz</t>
  </si>
  <si>
    <t>Süzsreballame</t>
  </si>
  <si>
    <t>Syzsreballame</t>
  </si>
  <si>
    <t>Taiebuchwder Ance Frank</t>
  </si>
  <si>
    <t>Taiebuchwder AncenFrank</t>
  </si>
  <si>
    <t>Tagebüchjr u8z7-1910</t>
  </si>
  <si>
    <t>Tagebüchjr usz7-1910</t>
  </si>
  <si>
    <t>Tszurigh Tropen</t>
  </si>
  <si>
    <t>Tsourigh Tropen</t>
  </si>
  <si>
    <t>Trilvgie: Sexus, wlebus und Nexus</t>
  </si>
  <si>
    <t>Trilvgie: Sexusf wlebus und Nexus</t>
  </si>
  <si>
    <t>vrohismen</t>
  </si>
  <si>
    <t>vrvhismen</t>
  </si>
  <si>
    <t>Ulynvos</t>
  </si>
  <si>
    <t>Ulynzos</t>
  </si>
  <si>
    <t>Unteredem Vulkap</t>
  </si>
  <si>
    <t>Unteredem Vhlkap</t>
  </si>
  <si>
    <t>koteroegs</t>
  </si>
  <si>
    <t>kotmroegs</t>
  </si>
  <si>
    <t>Vjrgirrujg der Gefühle</t>
  </si>
  <si>
    <t>Vsrgirrujg der Gefühle</t>
  </si>
  <si>
    <t>Vom Windsmverfeht</t>
  </si>
  <si>
    <t>Vom Wintsmverfeht</t>
  </si>
  <si>
    <t>Warcen auf Godjt</t>
  </si>
  <si>
    <t>Warcen auf Godjk</t>
  </si>
  <si>
    <t>Wem die stujde scglägt</t>
  </si>
  <si>
    <t>Wem die stujde scguägt</t>
  </si>
  <si>
    <t>Zazieyil ded Metro</t>
  </si>
  <si>
    <t>Zazieyil dedkMetro</t>
  </si>
  <si>
    <t>Zigxunexromanzen</t>
  </si>
  <si>
    <t>Zigxuneiromanzen</t>
  </si>
  <si>
    <t>klcxr</t>
  </si>
  <si>
    <t>klcxj</t>
  </si>
  <si>
    <t>ffpoxdl</t>
  </si>
  <si>
    <t>ffeoxdl</t>
  </si>
  <si>
    <t>Am ftllsunkt der Lhterapur</t>
  </si>
  <si>
    <t>Amdftllsunkt der Lhterapur</t>
  </si>
  <si>
    <t>Astevix ieg Gwllivr</t>
  </si>
  <si>
    <t>Aseevix ieg Gwllivr</t>
  </si>
  <si>
    <t>Auf drr Sucpz rach dwr verlorenen Zeit</t>
  </si>
  <si>
    <t>Auf dkr Sucpz rach dwr verlorenen Zeit</t>
  </si>
  <si>
    <t>Aorqlivn</t>
  </si>
  <si>
    <t>Aorqlpvn</t>
  </si>
  <si>
    <t>Bonjourngrcshessk</t>
  </si>
  <si>
    <t>Bonjourlgrcshessk</t>
  </si>
  <si>
    <t>Dax gndetezGehchlecht</t>
  </si>
  <si>
    <t>Dax gndeoezGehchlecht</t>
  </si>
  <si>
    <t>pas Leben Ghwrauchsanweiswns</t>
  </si>
  <si>
    <t>pas Lebeh Ghwrauchsanweiswns</t>
  </si>
  <si>
    <t>vaudwrvtokoll</t>
  </si>
  <si>
    <t>vaudwrvtokozl</t>
  </si>
  <si>
    <t>Das jchweigen dos Meefds</t>
  </si>
  <si>
    <t>ias jchweigen dos Meefds</t>
  </si>
  <si>
    <t>Dhs Sein unf das Nickts</t>
  </si>
  <si>
    <t>Dhs Sein unf vas Nickts</t>
  </si>
  <si>
    <t>tas Theater end seonpDouble</t>
  </si>
  <si>
    <t>tas Theater qnd seonpDouble</t>
  </si>
  <si>
    <t>Das Ufgcfber Syrtej</t>
  </si>
  <si>
    <t>Das Ufgcfbeh Syrtej</t>
  </si>
  <si>
    <t>teo Arcxmpek Gulag</t>
  </si>
  <si>
    <t>teo Arcdmpek Gulag</t>
  </si>
  <si>
    <t>Der ttfhaltsame Audstieg kep Arturo Ui</t>
  </si>
  <si>
    <t>Der ttfhaltsameqAudstieg kep Arturo Ui</t>
  </si>
  <si>
    <t>ecr BlauesLotoc</t>
  </si>
  <si>
    <t>ecr BlauesLotod</t>
  </si>
  <si>
    <t>Dir Fänger imbaoggmn</t>
  </si>
  <si>
    <t>Dir Fänger imbeoggmn</t>
  </si>
  <si>
    <t>oes Fqemee</t>
  </si>
  <si>
    <t>ous Fqemee</t>
  </si>
  <si>
    <t>Dec Genpsal dtr toten Arxee</t>
  </si>
  <si>
    <t>qec Genpsal dtr toten Arxee</t>
  </si>
  <si>
    <t>Dex uroßj Gatsvy</t>
  </si>
  <si>
    <t>uex uroßj Gatsvy</t>
  </si>
  <si>
    <t>aer grkßerMeaulwes</t>
  </si>
  <si>
    <t>aer grkßerMaaulwes</t>
  </si>
  <si>
    <t>Dur gioßn rchsaf</t>
  </si>
  <si>
    <t>Dur gioßn rchsal</t>
  </si>
  <si>
    <t>Deruleqrgder Riuge</t>
  </si>
  <si>
    <t>DeruleqrgderlRiuge</t>
  </si>
  <si>
    <t>Der Hunq von saskvrnille</t>
  </si>
  <si>
    <t>wer Hunq von saskvrnille</t>
  </si>
  <si>
    <t>DxrhHusaa affodem Dach</t>
  </si>
  <si>
    <t>DxrhHusaa affoaem Dach</t>
  </si>
  <si>
    <t>Der ylefnc Priez</t>
  </si>
  <si>
    <t>zer ylefnc Priez</t>
  </si>
  <si>
    <t>Dhr Kbiek der selfen</t>
  </si>
  <si>
    <t>Dhr Kbiek der telfen</t>
  </si>
  <si>
    <t>ier Manniohni Eizenschafeen</t>
  </si>
  <si>
    <t>ier Minniohni Eizenschafeen</t>
  </si>
  <si>
    <t>Der Meistez und qargbrita</t>
  </si>
  <si>
    <t>Der Meistez und qargbriha</t>
  </si>
  <si>
    <t>Dcr paml dzr aose</t>
  </si>
  <si>
    <t>ucr paml dzr aose</t>
  </si>
  <si>
    <t>DerrPrzxjsz</t>
  </si>
  <si>
    <t>DerrPrvxjsz</t>
  </si>
  <si>
    <t>DertSchaum derbiege</t>
  </si>
  <si>
    <t>DertSchaumrderbiege</t>
  </si>
  <si>
    <t>seq Schede</t>
  </si>
  <si>
    <t>seq Schedr</t>
  </si>
  <si>
    <t>eeo seidpne Schuv</t>
  </si>
  <si>
    <t>eeo seidpge Schuv</t>
  </si>
  <si>
    <t>ker Znuberbeeg</t>
  </si>
  <si>
    <t>ker Znuferbeeg</t>
  </si>
  <si>
    <t>Die Abenteuer von Blaxe undmMoktimed</t>
  </si>
  <si>
    <t>pie Abenteuer von Blaxe undmMoktimed</t>
  </si>
  <si>
    <t>Dbe Aufveschnungen des ualte Laurids Brqgge</t>
  </si>
  <si>
    <t>Dbe Aufveschnunien des ualte Laurids Brqgge</t>
  </si>
  <si>
    <t>linsFalkchmünzsr</t>
  </si>
  <si>
    <t>lqnsFalkchmünzsr</t>
  </si>
  <si>
    <t>Dve kthye Sängeyin</t>
  </si>
  <si>
    <t>Dme zaks-Chroniler</t>
  </si>
  <si>
    <t>Dme zais-Chroniler</t>
  </si>
  <si>
    <t>DieoOrdnanx der Dirgk</t>
  </si>
  <si>
    <t>DiaoOrdnanx der Dirgk</t>
  </si>
  <si>
    <t>gce Skhöne des Herrn</t>
  </si>
  <si>
    <t>gce Skhöne des Herqn</t>
  </si>
  <si>
    <t>Dre uchwadee Flfmme</t>
  </si>
  <si>
    <t>Dre uchwadev Flfmme</t>
  </si>
  <si>
    <t>Dih vonne sutams</t>
  </si>
  <si>
    <t>Dih vonne sutays</t>
  </si>
  <si>
    <t>Dee Tadrder Thérèse nosqueyroux</t>
  </si>
  <si>
    <t>Dee Tadrder Thérèse nosquexroux</t>
  </si>
  <si>
    <t>Dhu patacenwühte</t>
  </si>
  <si>
    <t>Dhu paaacenwühte</t>
  </si>
  <si>
    <t>Dbh Verijheung</t>
  </si>
  <si>
    <t>Dbh Verijhefng</t>
  </si>
  <si>
    <t>Die verloreve zhre der dathdrina Blum</t>
  </si>
  <si>
    <t>Die verloreve zhre der dathxrina Blum</t>
  </si>
  <si>
    <t>Die Verzpcaufg dfr LollV. Stein</t>
  </si>
  <si>
    <t>Die Verzpcaufghdfr LollV. Stein</t>
  </si>
  <si>
    <t>Dik wendekbare Reide des kleinengNils Holgersson</t>
  </si>
  <si>
    <t>Dik wendekbare Reide des kleinengNilp Holgersson</t>
  </si>
  <si>
    <t>wrei AbhandlungenszuruSexuaztheorie</t>
  </si>
  <si>
    <t>wrei AbhandyungenszuruSexuaztheorie</t>
  </si>
  <si>
    <t>Epn Zimmez ftr sich ablein</t>
  </si>
  <si>
    <t>Epn Zimmez ftr sichzablein</t>
  </si>
  <si>
    <t>Elemente und Ursprvngestotader terrwchaft</t>
  </si>
  <si>
    <t>Elemente und Ursprvcgestotader terrwchaft</t>
  </si>
  <si>
    <t>Ftniioieb</t>
  </si>
  <si>
    <t>Fcniioieb</t>
  </si>
  <si>
    <t>Fremtag oder Im Syhovs des Pazifik</t>
  </si>
  <si>
    <t>Fremtag oder Im Syhovs des Pazimik</t>
  </si>
  <si>
    <t>Früchte dds noutu</t>
  </si>
  <si>
    <t>Frücqte dds noutu</t>
  </si>
  <si>
    <t>Furtut etkmystèxe</t>
  </si>
  <si>
    <t>Furtug etkmystèxe</t>
  </si>
  <si>
    <t>musgok</t>
  </si>
  <si>
    <t>zusgok</t>
  </si>
  <si>
    <t>Hauzdstadt del Sthmerzed</t>
  </si>
  <si>
    <t>Hauzdstadt del Sthmeczed</t>
  </si>
  <si>
    <t>qundort Jahrs Eilsamkedt</t>
  </si>
  <si>
    <t>qundort Jmhrs Eilsamkedt</t>
  </si>
  <si>
    <t>Ietydas eih Mensth?</t>
  </si>
  <si>
    <t>Ietydas enh Mensth?</t>
  </si>
  <si>
    <t>Keive Orchidnei fsr Mrs. Blondish</t>
  </si>
  <si>
    <t>Keivi Orchidnei fsr Mrs. Blondish</t>
  </si>
  <si>
    <t>Lady Chattmrdeys wiabhaber</t>
  </si>
  <si>
    <t>Lady Chattmrdnys wiabhaber</t>
  </si>
  <si>
    <t>Lej frixles de la vigae</t>
  </si>
  <si>
    <t>Lej frixles de la vigau</t>
  </si>
  <si>
    <t>yobilg</t>
  </si>
  <si>
    <t>uorb mlm</t>
  </si>
  <si>
    <t>Maigretxund PiezrhdbrfLette</t>
  </si>
  <si>
    <t>Maigretxund PiezrhdwrfLette</t>
  </si>
  <si>
    <t>nfnhmtkan Transfnr</t>
  </si>
  <si>
    <t>sfnhmtkan Transfnr</t>
  </si>
  <si>
    <t>MabtpnhEoen</t>
  </si>
  <si>
    <t>MaktpnhEoen</t>
  </si>
  <si>
    <t>Mittfrnarhmskywder</t>
  </si>
  <si>
    <t>Mittfrsarhmskywder</t>
  </si>
  <si>
    <t>Molocf.pDas weben dcshMoravagine</t>
  </si>
  <si>
    <t>Molocf.pDasaweben dcshMoravagine</t>
  </si>
  <si>
    <t>fabjk</t>
  </si>
  <si>
    <t>fajjk</t>
  </si>
  <si>
    <t>Notrp-Dami-des-Flqyrs</t>
  </si>
  <si>
    <t>Notrp-Damo-des-Flqyrs</t>
  </si>
  <si>
    <t>Paris-Rom oreg Dwe Modifixytion</t>
  </si>
  <si>
    <t>Parii-Rom oreg Dwe Modifixytion</t>
  </si>
  <si>
    <t>izbilet</t>
  </si>
  <si>
    <t>izwilet</t>
  </si>
  <si>
    <t>Reise ansrEndrpder eacht</t>
  </si>
  <si>
    <t>Reise ansrEndipder eacht</t>
  </si>
  <si>
    <t>Sghatl ugv Waln</t>
  </si>
  <si>
    <t>Sghakl ugv Waln</t>
  </si>
  <si>
    <t>Sihönetneus Welx</t>
  </si>
  <si>
    <t>Sihönetzeus Welx</t>
  </si>
  <si>
    <t>ttjriften</t>
  </si>
  <si>
    <t>tteriften</t>
  </si>
  <si>
    <t>Snchs dersonen suehen einen nutor</t>
  </si>
  <si>
    <t>Snchs dersonen suehen einem nutor</t>
  </si>
  <si>
    <t>Sramiaken</t>
  </si>
  <si>
    <t>vramiaken</t>
  </si>
  <si>
    <t>So lebvldqr Meuech</t>
  </si>
  <si>
    <t>So lebvldqr Meuecv</t>
  </si>
  <si>
    <t>Sophiec vntscdeidqnz</t>
  </si>
  <si>
    <t>Sophiec vntscveidqnz</t>
  </si>
  <si>
    <t>jyzsreballame</t>
  </si>
  <si>
    <t>jyzsteballame</t>
  </si>
  <si>
    <t>Taiebuchwder mncenFrank</t>
  </si>
  <si>
    <t>Taiebuchwder mncenFradk</t>
  </si>
  <si>
    <t>Tagebüchjw usz7-1910</t>
  </si>
  <si>
    <t>Tagebüchjw usz7-1l10</t>
  </si>
  <si>
    <t>Tsourigh Troptn</t>
  </si>
  <si>
    <t>Tsburigh Troptn</t>
  </si>
  <si>
    <t>Trilvgie: Sebusf wlebus und Nexus</t>
  </si>
  <si>
    <t>Trzlvgie: Sebusf wlebus und Nexus</t>
  </si>
  <si>
    <t>vrvhismed</t>
  </si>
  <si>
    <t>trvhismed</t>
  </si>
  <si>
    <t>qlynzos</t>
  </si>
  <si>
    <t>qlynbos</t>
  </si>
  <si>
    <t>Unteredem Vhlkan</t>
  </si>
  <si>
    <t>Unteredem Vhlsan</t>
  </si>
  <si>
    <t>kotmroggs</t>
  </si>
  <si>
    <t>kotmrxggs</t>
  </si>
  <si>
    <t>Vsrgirruju der Gefühle</t>
  </si>
  <si>
    <t>Vsrgirrujr der Gefühle</t>
  </si>
  <si>
    <t>Vom Wintsmverfehm</t>
  </si>
  <si>
    <t>Vom Wsntsmverfehm</t>
  </si>
  <si>
    <t>Warcen auf Godjm</t>
  </si>
  <si>
    <t>Warcen auf Gddjm</t>
  </si>
  <si>
    <t>Wem die stujde shguägt</t>
  </si>
  <si>
    <t>Zazieyil dedlMetro</t>
  </si>
  <si>
    <t>Zaziqyil dedlMetro</t>
  </si>
  <si>
    <t>Zigxuneiromaneen</t>
  </si>
  <si>
    <t>Zigxuneiromsneen</t>
  </si>
  <si>
    <t>flibi</t>
  </si>
  <si>
    <t>llibi</t>
  </si>
  <si>
    <t>Alkoeol</t>
  </si>
  <si>
    <t>Alkoqol</t>
  </si>
  <si>
    <t>Am Nullpunkz der Literatur</t>
  </si>
  <si>
    <t>lm Nullpunkz der Literatur</t>
  </si>
  <si>
    <t>Asterix der Gmllier</t>
  </si>
  <si>
    <t>Asterix der Gmllker</t>
  </si>
  <si>
    <t>Auf der Suche nach der verlorentn Zeit</t>
  </si>
  <si>
    <t>Auf der Suche nach det verlorentn Zeit</t>
  </si>
  <si>
    <t>Auréliei</t>
  </si>
  <si>
    <t>Alréliei</t>
  </si>
  <si>
    <t>Bonjour tristdsse</t>
  </si>
  <si>
    <t>Bonjour tristdsme</t>
  </si>
  <si>
    <t>Das andere Gesvhlecht</t>
  </si>
  <si>
    <t>eas andere Gesvhlecht</t>
  </si>
  <si>
    <t>Das Lebpn Gebrauchsanweisung</t>
  </si>
  <si>
    <t>Das Lkbpn Gebrauchsanweisung</t>
  </si>
  <si>
    <t>Das Protokogl</t>
  </si>
  <si>
    <t>Das Protekogl</t>
  </si>
  <si>
    <t>Das Schweigen des Meires</t>
  </si>
  <si>
    <t>Das Schweigen des Meirns</t>
  </si>
  <si>
    <t>Dus Sein und das Nichts</t>
  </si>
  <si>
    <t>Dus Sein und dah Nichts</t>
  </si>
  <si>
    <t>Das Theater und sein bouble</t>
  </si>
  <si>
    <t>Das Theater pnd sein bouble</t>
  </si>
  <si>
    <t>Das Ufcr der Syrten</t>
  </si>
  <si>
    <t>Der Arcgipel Gulag</t>
  </si>
  <si>
    <t>Der Arcgipel Gulbg</t>
  </si>
  <si>
    <t>Der aufhaltsame Aufstieg dks Arturo Ui</t>
  </si>
  <si>
    <t>mer aufhaltsame Aufstieg dks Arturo Ui</t>
  </si>
  <si>
    <t>Der Blaue wotos</t>
  </si>
  <si>
    <t>Der Blame wotos</t>
  </si>
  <si>
    <t>Der Fänger ig Roggen</t>
  </si>
  <si>
    <t>Der Feemde</t>
  </si>
  <si>
    <t>Der Fepmde</t>
  </si>
  <si>
    <t>Der General der totan Armee</t>
  </si>
  <si>
    <t>Der General deritotan Armee</t>
  </si>
  <si>
    <t>Der große Gatsbl</t>
  </si>
  <si>
    <t>Der groie Gatsbl</t>
  </si>
  <si>
    <t>Der große Meaulnus</t>
  </si>
  <si>
    <t>mer große Meaulnus</t>
  </si>
  <si>
    <t>Der großm Schlaf</t>
  </si>
  <si>
    <t>Dep großm Schlaf</t>
  </si>
  <si>
    <t>Der Herr dtr Ringe</t>
  </si>
  <si>
    <t>Der Horr dtr Ringe</t>
  </si>
  <si>
    <t>Der Hxnd von Baskerville</t>
  </si>
  <si>
    <t>Der Hxnd von Basierville</t>
  </si>
  <si>
    <t>Der Husar auf demmDach</t>
  </si>
  <si>
    <t>Der Husar auf demmkach</t>
  </si>
  <si>
    <t>Der klvine Prinz</t>
  </si>
  <si>
    <t>Der klvone Prinz</t>
  </si>
  <si>
    <t>Der Krieg der Weltpn</t>
  </si>
  <si>
    <t>Der Krieg der Welbpn</t>
  </si>
  <si>
    <t>Der Mane ohne Eigenschaften</t>
  </si>
  <si>
    <t>Der Mane ohne Eiglnschaften</t>
  </si>
  <si>
    <t>Der Meifter und Margarita</t>
  </si>
  <si>
    <t>Der Meifter uud Margarita</t>
  </si>
  <si>
    <t>Der Name dqr Rose</t>
  </si>
  <si>
    <t>DerwName dqr Rose</t>
  </si>
  <si>
    <t>Der Prozesr</t>
  </si>
  <si>
    <t>Der Phozesr</t>
  </si>
  <si>
    <t>Der Schanm der Tage</t>
  </si>
  <si>
    <t>Der Schanm deu Tage</t>
  </si>
  <si>
    <t>Der Scherb</t>
  </si>
  <si>
    <t>Der Scherj</t>
  </si>
  <si>
    <t>Deo seidene Schuh</t>
  </si>
  <si>
    <t>Deo seidese Schuh</t>
  </si>
  <si>
    <t>Der Zapberberg</t>
  </si>
  <si>
    <t>Der Zapblrberg</t>
  </si>
  <si>
    <t>Die Abenteuer von Blakk und Mortimer</t>
  </si>
  <si>
    <t>Die Abenteuer von Blakk und Mxrtimer</t>
  </si>
  <si>
    <t>Die Aufzeichnungen des Malte jaurids Brigge</t>
  </si>
  <si>
    <t>Die Aufzeichningen des Malte jaurids Brigge</t>
  </si>
  <si>
    <t>Dre Falschmünzer</t>
  </si>
  <si>
    <t>Drm Falschmünzer</t>
  </si>
  <si>
    <t>Die sahle Sängerin</t>
  </si>
  <si>
    <t>Dae sahle Sängerin</t>
  </si>
  <si>
    <t>Die Marc-Chroniken</t>
  </si>
  <si>
    <t>Die Marc-Chtoniken</t>
  </si>
  <si>
    <t>Die Ordjung der Dinge</t>
  </si>
  <si>
    <t>Die Ordjung der uinge</t>
  </si>
  <si>
    <t>Die Schöze des Herrn</t>
  </si>
  <si>
    <t>Dae Schöze des Herrn</t>
  </si>
  <si>
    <t>Die schyarze Flamme</t>
  </si>
  <si>
    <t>Die schyarze Fyamme</t>
  </si>
  <si>
    <t>Die SonnewSatans</t>
  </si>
  <si>
    <t>Dre SonnewSatans</t>
  </si>
  <si>
    <t>Dye Tat der Thérèse Desqueyroux</t>
  </si>
  <si>
    <t>Dye Tat der Tzérèse Desqueyroux</t>
  </si>
  <si>
    <t>Diw Tatarenwüste</t>
  </si>
  <si>
    <t>Diw Tatarenwüsto</t>
  </si>
  <si>
    <t>Did Verachtung</t>
  </si>
  <si>
    <t>Ded Verachtung</t>
  </si>
  <si>
    <t>Die verlorene Ehre der Katharioa Blum</t>
  </si>
  <si>
    <t>Die verlorene Ehrejder Katharioa Blum</t>
  </si>
  <si>
    <t>Die Verzückung der Lol V. ptein</t>
  </si>
  <si>
    <t>Die Verzückung der Lol V. pjein</t>
  </si>
  <si>
    <t>Die wunderbare Reise des kleinen Nils Holgeryson</t>
  </si>
  <si>
    <t>Die wunderbare Reise res kleinen Nils Holgeryson</t>
  </si>
  <si>
    <t>Drei Abhandmungen zur Sexualtheorie</t>
  </si>
  <si>
    <t>Drei Abwandmungen zur Sexualtheorie</t>
  </si>
  <si>
    <t>Ein Zimmer für sich aulein</t>
  </si>
  <si>
    <t>Ein Zimmer für sidh aulein</t>
  </si>
  <si>
    <t>Elemente uld Ursprünge totaler Herrschaft</t>
  </si>
  <si>
    <t>Fiktinnen</t>
  </si>
  <si>
    <t>Fiktineen</t>
  </si>
  <si>
    <t>Freitag oder Im cchoss des Pazifik</t>
  </si>
  <si>
    <t>Freitag oder Im ccmoss des Pazifik</t>
  </si>
  <si>
    <t>Früjhte des Zorns</t>
  </si>
  <si>
    <t>Früjhte des Zornf</t>
  </si>
  <si>
    <t>Fureur et mystèro</t>
  </si>
  <si>
    <t>Fureur etvmystèro</t>
  </si>
  <si>
    <t>Gastzn</t>
  </si>
  <si>
    <t>Hauftstadt der Schmlrzen</t>
  </si>
  <si>
    <t>Hundert Jahre vinsamkeit</t>
  </si>
  <si>
    <t>Hunqert Jahre vinsamkeit</t>
  </si>
  <si>
    <t>Isd das ein Mensch?</t>
  </si>
  <si>
    <t>Isd das ein Mensoh?</t>
  </si>
  <si>
    <t>Keine Orchidmen für Mrs. Blandish</t>
  </si>
  <si>
    <t>Keine Orchidmen für ors. Blandish</t>
  </si>
  <si>
    <t>Lady Chatterleys Liebhabex</t>
  </si>
  <si>
    <t>Lady Chatterleys Liebhgbex</t>
  </si>
  <si>
    <t>Les Vrioles de la vigne</t>
  </si>
  <si>
    <t>Les Vrioles de la vigwe</t>
  </si>
  <si>
    <t>Lolitd</t>
  </si>
  <si>
    <t>Lokitd</t>
  </si>
  <si>
    <t>Lord wim</t>
  </si>
  <si>
    <t>Lorx wim</t>
  </si>
  <si>
    <t>Maigret und Pietr der Lrtte</t>
  </si>
  <si>
    <t>Maigret und Piegr der Lrtte</t>
  </si>
  <si>
    <t>Manpattan Transfer</t>
  </si>
  <si>
    <t>Mafpattan Transfer</t>
  </si>
  <si>
    <t>Martit Eden</t>
  </si>
  <si>
    <t>Martit gden</t>
  </si>
  <si>
    <t>Mytternachtskinder</t>
  </si>
  <si>
    <t>Mytteknachtskinder</t>
  </si>
  <si>
    <t>Moloch. DasyLeben des Moravagine</t>
  </si>
  <si>
    <t>Moloch. DasyLeien des Moravagine</t>
  </si>
  <si>
    <t>Nadma</t>
  </si>
  <si>
    <t>ladma</t>
  </si>
  <si>
    <t>wotre-Dame-des-Fleurs</t>
  </si>
  <si>
    <t>wotre-Dame-des-kleurs</t>
  </si>
  <si>
    <t>Paris-Ram oder Die Modifikation</t>
  </si>
  <si>
    <t>Parns-Ram oder Die Modifikation</t>
  </si>
  <si>
    <t>Parolcs</t>
  </si>
  <si>
    <t>parolcs</t>
  </si>
  <si>
    <t>Reise uns Ende der Nacht</t>
  </si>
  <si>
    <t>Schmll und Wahn</t>
  </si>
  <si>
    <t>Schmll und vahn</t>
  </si>
  <si>
    <t>Schönn neue Welt</t>
  </si>
  <si>
    <t>Schönn heue Welt</t>
  </si>
  <si>
    <t>Scgriften</t>
  </si>
  <si>
    <t>Scgrtften</t>
  </si>
  <si>
    <t>Sechs Pzrsonen suchen einen Autor</t>
  </si>
  <si>
    <t>Sechs Pzrsonen suchen etnen Autor</t>
  </si>
  <si>
    <t>Syemarken</t>
  </si>
  <si>
    <t>Spemarken</t>
  </si>
  <si>
    <t>So lebt der Mznsch</t>
  </si>
  <si>
    <t>ko lebt der Mznsch</t>
  </si>
  <si>
    <t>Sophies Entscheidlng</t>
  </si>
  <si>
    <t>SophiesfEntscheidlng</t>
  </si>
  <si>
    <t>Südseebalgade</t>
  </si>
  <si>
    <t>Srdseebalgade</t>
  </si>
  <si>
    <t>Tagebuch der Annn Frank</t>
  </si>
  <si>
    <t>Tagebuch dar Annn Frank</t>
  </si>
  <si>
    <t>Tagebüchpr 1887-1910</t>
  </si>
  <si>
    <t>lagebüchpr 1887-1910</t>
  </si>
  <si>
    <t>Traurkge Tropen</t>
  </si>
  <si>
    <t>Tmaurkge Tropen</t>
  </si>
  <si>
    <t>Trilogie: Sexus, Plexus und Nlxus</t>
  </si>
  <si>
    <t>Trilcgie: Sexus, Plexus und Nlxus</t>
  </si>
  <si>
    <t>Tromismen</t>
  </si>
  <si>
    <t>Tromizmen</t>
  </si>
  <si>
    <t>Ulyssez</t>
  </si>
  <si>
    <t>Unter demaVulkan</t>
  </si>
  <si>
    <t>Unter kemaVulkan</t>
  </si>
  <si>
    <t>Ueterwegs</t>
  </si>
  <si>
    <t>Ueterweqs</t>
  </si>
  <si>
    <t>Verwisrung der Gefühle</t>
  </si>
  <si>
    <t>Verwisxung der Gefühle</t>
  </si>
  <si>
    <t>Vsm Winde verweht</t>
  </si>
  <si>
    <t>Vsm Winde veoweht</t>
  </si>
  <si>
    <t>Warten aufqGodot</t>
  </si>
  <si>
    <t>Warten jufqGodot</t>
  </si>
  <si>
    <t>Wbm die Stunde schlägt</t>
  </si>
  <si>
    <t>Zazie in der Memro</t>
  </si>
  <si>
    <t>Zazie in der Memzo</t>
  </si>
  <si>
    <t>Zigeunerroxanzen</t>
  </si>
  <si>
    <t>Zigeunerroxanzea</t>
  </si>
  <si>
    <t>clibi</t>
  </si>
  <si>
    <t>olibi</t>
  </si>
  <si>
    <t>Alkoqon</t>
  </si>
  <si>
    <t>Aykoqon</t>
  </si>
  <si>
    <t>lm Nkllpunkz der Literatur</t>
  </si>
  <si>
    <t>lm Nkllpunkz der Litiratur</t>
  </si>
  <si>
    <t>Asterix der Gpllker</t>
  </si>
  <si>
    <t>Auf der Suche nach detlverlorentn Zeit</t>
  </si>
  <si>
    <t>Auf der Suche nach detlverlorentnuZeit</t>
  </si>
  <si>
    <t>Alrwliei</t>
  </si>
  <si>
    <t>Bonjour triutdsme</t>
  </si>
  <si>
    <t>Bontour triutdsme</t>
  </si>
  <si>
    <t>eas andere Gesvhlecgt</t>
  </si>
  <si>
    <t>eas anderj Gesvhlecgt</t>
  </si>
  <si>
    <t>Das Lkbpn Gpbrauchsanweisung</t>
  </si>
  <si>
    <t>Das Lkbpn Gpbrauchsanwoisung</t>
  </si>
  <si>
    <t>Das Protwkogl</t>
  </si>
  <si>
    <t>Drs Protwkogl</t>
  </si>
  <si>
    <t>Dgs Schweigen des Meirns</t>
  </si>
  <si>
    <t>Dgs Scqweigen des Meirns</t>
  </si>
  <si>
    <t>Dus Sein und dae Nichts</t>
  </si>
  <si>
    <t>Dus Sein und dae Nizhts</t>
  </si>
  <si>
    <t>Das Theater pnd sein bouvle</t>
  </si>
  <si>
    <t>Das Theater pnd sein bouvll</t>
  </si>
  <si>
    <t>Das Ufcr deriSyrten</t>
  </si>
  <si>
    <t>Das Uycr deriSyrten</t>
  </si>
  <si>
    <t>Dcr Arcgipel Gulbg</t>
  </si>
  <si>
    <t>Dcr ArcgipeljGulbg</t>
  </si>
  <si>
    <t>mer aufhaltsame Aufstizg dks Arturo Ui</t>
  </si>
  <si>
    <t>mer aufhaltsame Aufotizg dks Arturo Ui</t>
  </si>
  <si>
    <t>Der zlame wotos</t>
  </si>
  <si>
    <t>Der zlamg wotos</t>
  </si>
  <si>
    <t>Der Fänger ig ooggen</t>
  </si>
  <si>
    <t>Der Fänger ig oogger</t>
  </si>
  <si>
    <t>Der eepmde</t>
  </si>
  <si>
    <t>Der eeqmde</t>
  </si>
  <si>
    <t>Der General deretotan Armee</t>
  </si>
  <si>
    <t>Der Gsneral deretotan Armee</t>
  </si>
  <si>
    <t>Der groie Gajsbl</t>
  </si>
  <si>
    <t>Der groie Gajwbl</t>
  </si>
  <si>
    <t>mer großemMeaulnus</t>
  </si>
  <si>
    <t>mer großemMeaulnis</t>
  </si>
  <si>
    <t>Dep großm Schlap</t>
  </si>
  <si>
    <t>Dep großm Schrap</t>
  </si>
  <si>
    <t>Der Horr der Ringe</t>
  </si>
  <si>
    <t>Der Hotr der Ringe</t>
  </si>
  <si>
    <t>Der Hxhd von Basierville</t>
  </si>
  <si>
    <t>Der Hxhd hon Basierville</t>
  </si>
  <si>
    <t>Der Husartauf demmkach</t>
  </si>
  <si>
    <t>Der Husartauf dempkach</t>
  </si>
  <si>
    <t>Der qlvone Prinz</t>
  </si>
  <si>
    <t>Der qlvtne Prinz</t>
  </si>
  <si>
    <t>Der Krieg dfr Welbpn</t>
  </si>
  <si>
    <t>Der Krieg dfr Welbrn</t>
  </si>
  <si>
    <t>Der Mane ohne ciglnschaften</t>
  </si>
  <si>
    <t>Der Meifter uud Margahita</t>
  </si>
  <si>
    <t>Der Meifter uud qargahita</t>
  </si>
  <si>
    <t>DerwName dpr Rose</t>
  </si>
  <si>
    <t>DerwNjme dpr Rose</t>
  </si>
  <si>
    <t>Der Peozesr</t>
  </si>
  <si>
    <t>Der Peozemr</t>
  </si>
  <si>
    <t>Der Schvnm deu Tage</t>
  </si>
  <si>
    <t>Der Schvnm deukTage</t>
  </si>
  <si>
    <t>Der vcherj</t>
  </si>
  <si>
    <t>Derpvcherj</t>
  </si>
  <si>
    <t>Deo seidese Scyuh</t>
  </si>
  <si>
    <t>Deo serdese Scyuh</t>
  </si>
  <si>
    <t>Der aapblrberg</t>
  </si>
  <si>
    <t>Die Abenteuerrvon Blakk und Mxrtimer</t>
  </si>
  <si>
    <t>Die Abetteuerrvon Blakk und Mxrtimer</t>
  </si>
  <si>
    <t>Die Aufzeichningen des Mplte jaurids Brigge</t>
  </si>
  <si>
    <t>Die Aufzeichningen des Mplte jaugids Brigge</t>
  </si>
  <si>
    <t>Drm Falsckmünzer</t>
  </si>
  <si>
    <t>Drm Falsckmünzew</t>
  </si>
  <si>
    <t>Dae sayle Sängerin</t>
  </si>
  <si>
    <t>Dae aayle Sängerin</t>
  </si>
  <si>
    <t>Die Marc-vhtoniken</t>
  </si>
  <si>
    <t>Die oarc-vhtoniken</t>
  </si>
  <si>
    <t>Die Ordjung der uingm</t>
  </si>
  <si>
    <t>Die Ordjung der uinim</t>
  </si>
  <si>
    <t>Dae ychöze des Herrn</t>
  </si>
  <si>
    <t>Dae ychöze des Heern</t>
  </si>
  <si>
    <t>fie schyarze Fyamme</t>
  </si>
  <si>
    <t>fie schyarze Fyrmme</t>
  </si>
  <si>
    <t>DrejSonnewSatans</t>
  </si>
  <si>
    <t>DrejSonneaSatans</t>
  </si>
  <si>
    <t>pye Tat der Tzérèse Desqueyroux</t>
  </si>
  <si>
    <t>pye Tat der Tzérène Desqueyroux</t>
  </si>
  <si>
    <t>DiwcTatarenwüsto</t>
  </si>
  <si>
    <t>DilcTatarenwüsto</t>
  </si>
  <si>
    <t>Ded Veracmtung</t>
  </si>
  <si>
    <t>Dek Veracmtung</t>
  </si>
  <si>
    <t>Die verlorene EhrejderxKatharioa Blum</t>
  </si>
  <si>
    <t>Diedverlorene EhrejderxKatharioa Blum</t>
  </si>
  <si>
    <t>Die Verzückung dvr Lol V. pjein</t>
  </si>
  <si>
    <t>Die Verzückdng dvr Lol V. pjein</t>
  </si>
  <si>
    <t>Dip wunderbare Reise res kleinen Nils Holgeryson</t>
  </si>
  <si>
    <t>Drei Abwandmungen zur Smxualtheorie</t>
  </si>
  <si>
    <t>Drei Abwandmungen zur Smyualtheorie</t>
  </si>
  <si>
    <t>Ein Zimmer für sidh aulrin</t>
  </si>
  <si>
    <t>Ein Zimmer fhr sidh aulrin</t>
  </si>
  <si>
    <t>Elemente uld Utsprünge totaler Herrschaft</t>
  </si>
  <si>
    <t>Elementg uld Utsprünge totaler Herrschaft</t>
  </si>
  <si>
    <t>Fikgineen</t>
  </si>
  <si>
    <t>zikgineen</t>
  </si>
  <si>
    <t>Freitag oder Im ccyoss des Pazifik</t>
  </si>
  <si>
    <t>Freitag oder Im ccyoss tes Pazifik</t>
  </si>
  <si>
    <t>Früjhte des bornf</t>
  </si>
  <si>
    <t>Früjhtewdes bornf</t>
  </si>
  <si>
    <t>Furlur etvmystèro</t>
  </si>
  <si>
    <t>Furlur etvmystèrv</t>
  </si>
  <si>
    <t>Gastzu</t>
  </si>
  <si>
    <t>Gaslzu</t>
  </si>
  <si>
    <t>Haufnstadt der Schmlrzen</t>
  </si>
  <si>
    <t>Haufnstadt der Schmlrken</t>
  </si>
  <si>
    <t>Huoqert Jahre vinsamkeit</t>
  </si>
  <si>
    <t>Huoqert Jahre vinsamkvit</t>
  </si>
  <si>
    <t>Isd das ein Mrnsoh?</t>
  </si>
  <si>
    <t>Isd das cin Mrnsoh?</t>
  </si>
  <si>
    <t>Keine Orchidmen für ors. Blanrish</t>
  </si>
  <si>
    <t>Keine Orcdidmen für ors. Blanrish</t>
  </si>
  <si>
    <t>Lady Chatterheys Liebhgbex</t>
  </si>
  <si>
    <t>Lady Chatterheys Liebhgbyx</t>
  </si>
  <si>
    <t>Les Vrioles de lx vigwe</t>
  </si>
  <si>
    <t>Les Vrioles de lx vagwe</t>
  </si>
  <si>
    <t>Lokitr</t>
  </si>
  <si>
    <t>Lokltr</t>
  </si>
  <si>
    <t>Lorn wim</t>
  </si>
  <si>
    <t>Lorn vim</t>
  </si>
  <si>
    <t>Maigrec und Piegr der Lrtte</t>
  </si>
  <si>
    <t>Mdfpattan Transfer</t>
  </si>
  <si>
    <t>Martit gdee</t>
  </si>
  <si>
    <t>Mautit gdee</t>
  </si>
  <si>
    <t>Mytteknachcskinder</t>
  </si>
  <si>
    <t>Mytteknachcskindeb</t>
  </si>
  <si>
    <t>Moloch. DaoyLeien des Moravagine</t>
  </si>
  <si>
    <t>ladmz</t>
  </si>
  <si>
    <t>laxmz</t>
  </si>
  <si>
    <t>wotre-Dafe-des-kleurs</t>
  </si>
  <si>
    <t>wotre-Dafe-ies-kleurs</t>
  </si>
  <si>
    <t>Parns-Ram oder Die Modifiqation</t>
  </si>
  <si>
    <t>Parns-Ram qder Die Modifiqation</t>
  </si>
  <si>
    <t>paroucs</t>
  </si>
  <si>
    <t>parovcs</t>
  </si>
  <si>
    <t>Reise uns Ende der cacht</t>
  </si>
  <si>
    <t>Rsise uns Ende der cacht</t>
  </si>
  <si>
    <t>Schmll und vnhn</t>
  </si>
  <si>
    <t>Schmll und anhn</t>
  </si>
  <si>
    <t>Schönnkheue Welt</t>
  </si>
  <si>
    <t>Schöankheue Welt</t>
  </si>
  <si>
    <t>Scgrtfaen</t>
  </si>
  <si>
    <t>Shgrtfaen</t>
  </si>
  <si>
    <t>Sechs Pzrsoned suchen etnen Autor</t>
  </si>
  <si>
    <t>Sechs Pzrsoned suchmn etnen Autor</t>
  </si>
  <si>
    <t>Sqemarken</t>
  </si>
  <si>
    <t>Sqemarksn</t>
  </si>
  <si>
    <t>ko lebt der Mlnsch</t>
  </si>
  <si>
    <t>ko lvbt der Mlnsch</t>
  </si>
  <si>
    <t>SophiesfEntdcheidlng</t>
  </si>
  <si>
    <t>SophiesfEnadcheidlng</t>
  </si>
  <si>
    <t>Srdsecbalgade</t>
  </si>
  <si>
    <t>Srdsecbalgaze</t>
  </si>
  <si>
    <t>Tqgebuch dar Annn Frank</t>
  </si>
  <si>
    <t>Tqgebuch dar Annn Frcnk</t>
  </si>
  <si>
    <t>ljgebüchpr 1887-1910</t>
  </si>
  <si>
    <t>ljoebüchpr 1887-1910</t>
  </si>
  <si>
    <t>Tmaurkgx Tropen</t>
  </si>
  <si>
    <t>rmaurkgx Tropen</t>
  </si>
  <si>
    <t>Trilcgie: Sexus, Plexus und blxus</t>
  </si>
  <si>
    <t>Trilcgie: Sexus, Plexus uny blxus</t>
  </si>
  <si>
    <t>Tromizken</t>
  </si>
  <si>
    <t>rromizken</t>
  </si>
  <si>
    <t>Unber kemaVulkan</t>
  </si>
  <si>
    <t>Unber kemoVulkan</t>
  </si>
  <si>
    <t>veterweqs</t>
  </si>
  <si>
    <t>Verwisxunx der Gefühle</t>
  </si>
  <si>
    <t>Verwisxunx dbr Gefühle</t>
  </si>
  <si>
    <t>Vsm Windh veoweht</t>
  </si>
  <si>
    <t>Vsm Windh veowwht</t>
  </si>
  <si>
    <t>Warten jutqGodot</t>
  </si>
  <si>
    <t>Wdm die Stunde schlägt</t>
  </si>
  <si>
    <t>Wdm die Stunde sehlägt</t>
  </si>
  <si>
    <t>Zhzie in der Memzo</t>
  </si>
  <si>
    <t>Zhzie in der Meczo</t>
  </si>
  <si>
    <t>Zigeundrroxanzea</t>
  </si>
  <si>
    <t>Zigeundtroxanzea</t>
  </si>
  <si>
    <t>olzbi</t>
  </si>
  <si>
    <t>olzti</t>
  </si>
  <si>
    <t>Aykkqon</t>
  </si>
  <si>
    <t/>
  </si>
  <si>
    <t xml:space="preserve"> VLOOKUP and XLOOKUP function to search for values in other ranges</t>
  </si>
  <si>
    <t>SLOOKUP uses simpleSim which has a complexity of O(n) in best and random cases and O(n^2) in worst case</t>
  </si>
  <si>
    <t>Functions to lookup for similar values</t>
  </si>
  <si>
    <t>Excel has the LOOKUP,  HLOOKUP,  VLOOKUP and XLOOKUP function to search for values in other ranges</t>
  </si>
  <si>
    <t>but they need exact matches. XLOOKUP allows for well defined substrings with wildcard characters</t>
  </si>
  <si>
    <t>but does not deal random changes. The functions proposed here allow you to do this. Two functions are proposed:</t>
  </si>
  <si>
    <t>LLOOKUP(needle, haystack, result, optional threshold = 0.75, optional partialsrtring = true, optional simplestring = true)</t>
  </si>
  <si>
    <t>so it may be faster on larger ranges.</t>
  </si>
  <si>
    <t>SLOOKUP(needle, haystack, result, optional threshold = 0.75, optional partialstring = true, optional simplestring = true)</t>
  </si>
  <si>
    <t>LevenshteinDistance(needle, haystack, optional partialstring = true, optional simplestring = true)</t>
  </si>
  <si>
    <t>LevenshteinSimilarity(needle, haystack, optional partialstring = true, optional simplestring = true)</t>
  </si>
  <si>
    <t>SimpleURL(text)</t>
  </si>
  <si>
    <t>The functions do not have side effects</t>
  </si>
  <si>
    <t>Freeware</t>
  </si>
  <si>
    <t>Version 1.0 2024-06-14</t>
  </si>
  <si>
    <t>SLOOKUP and LLOOKUP for Excel</t>
  </si>
  <si>
    <t>=LLOOKUP(G1,A:A,A:A)</t>
  </si>
  <si>
    <t>=LLOOKUP(K1,A:A,A:A)</t>
  </si>
  <si>
    <t>Version 1.1 2025-02-14</t>
  </si>
  <si>
    <t>SimpleSimilarity(needle, haystack, result, optional partialstring = true, optional simplestring = true, optional threshold = 0.0)</t>
  </si>
  <si>
    <t xml:space="preserve"> Threshold allows to stop the calculation when it is clear the threshold cannot be achieved</t>
  </si>
  <si>
    <t>About the simpleSim algorithm</t>
  </si>
  <si>
    <t>The score is set to 0.</t>
  </si>
  <si>
    <t>The offset is set to 1</t>
  </si>
  <si>
    <t>The first character of needle is compared to the characters in the haystack starting at offset</t>
  </si>
  <si>
    <t>position is set to 0</t>
  </si>
  <si>
    <t>If a match is found, the position is set to the position of the character in the haystack</t>
  </si>
  <si>
    <t xml:space="preserve">A search back starting from offset-2 to the beginning is executed </t>
  </si>
  <si>
    <t>If a match is found and the position is nearer to offset, that position is retained.</t>
  </si>
  <si>
    <t>If position is found, the score is augmented by 1/(abs(position-offset) + 1), means 1 for continous text and less in other cases</t>
  </si>
  <si>
    <t>The procedure is repeated for each character in the needle</t>
  </si>
  <si>
    <t>The result is the score divided by the needle</t>
  </si>
  <si>
    <t>LLOOKUP uses Levenshtein which has a complexity of O(n ln n).</t>
  </si>
  <si>
    <t>Both scan the entire list,  so if you use them in a range, the complexity is O(needles * haystacks).</t>
  </si>
  <si>
    <t>If there is a threshold and it is clear that the threshold cannot be achieved, the procedure is stopped now.</t>
  </si>
  <si>
    <t>Author: matti@belle-nuit.com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</si>
</sst>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&quot;Fr.&quot;\ * #,##0.00_ ;_ &quot;Fr.&quot;\ * \-#,##0.00_ ;_ &quot;Fr.&quot;\ * &quot;-&quot;??_ ;_ @_ "/>
    <numFmt numFmtId="165" formatCode="_ &quot;fr.&quot;\ * #,##0.00_ ;_ &quot;fr.&quot;\ * \-#,##0.00_ ;_ &quot;fr.&quot;\ * &quot;-&quot;??_ ;_ @_ "/>
  </numFmts>
  <fonts count="9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50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3" fillId="0" borderId="0"/>
    <xf numFmtId="164" fontId="2" fillId="0" borderId="0" applyFont="0" applyFill="0" applyBorder="0" applyAlignment="0" applyProtection="0"/>
    <xf numFmtId="0" fontId="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4" fillId="0" borderId="0" xfId="0" applyFont="1"/>
    <xf numFmtId="0" fontId="4" fillId="0" borderId="0" xfId="0" quotePrefix="1" applyFont="1"/>
    <xf numFmtId="9" fontId="0" fillId="0" borderId="0" xfId="848" applyFont="1"/>
    <xf numFmtId="9" fontId="4" fillId="0" borderId="0" xfId="848" quotePrefix="1" applyFont="1"/>
    <xf numFmtId="0" fontId="0" fillId="2" borderId="0" xfId="0" applyFill="1"/>
    <xf numFmtId="0" fontId="0" fillId="0" borderId="0" xfId="849" applyFont="1"/>
    <xf numFmtId="0" fontId="0" fillId="0" borderId="0" xfId="849" quotePrefix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849" applyFont="1" applyBorder="1"/>
    <xf numFmtId="0" fontId="0" fillId="0" borderId="1" xfId="0" applyBorder="1"/>
    <xf numFmtId="0" fontId="4" fillId="0" borderId="1" xfId="0" applyFont="1" applyBorder="1"/>
  </cellXfs>
  <cellStyles count="850">
    <cellStyle name="Hyperlink" xfId="849" builtinId="8"/>
    <cellStyle name="Komma 2" xfId="1" xr:uid="{00000000-0005-0000-0000-000001000000}"/>
    <cellStyle name="Komma 2 10" xfId="229" xr:uid="{09FC65A1-814B-41A4-9E78-FAFF83119E93}"/>
    <cellStyle name="Komma 2 11" xfId="436" xr:uid="{007F38D9-E4AB-4879-8C22-7683BEF87804}"/>
    <cellStyle name="Komma 2 2" xfId="3" xr:uid="{00000000-0005-0000-0000-000002000000}"/>
    <cellStyle name="Komma 2 2 10" xfId="442" xr:uid="{5D4C3698-3700-4BCE-A2D6-DCF5A061F837}"/>
    <cellStyle name="Komma 2 2 2" xfId="95" xr:uid="{F04E03F7-7602-4475-800A-2DB357F4CF92}"/>
    <cellStyle name="Komma 2 2 2 2" xfId="111" xr:uid="{D8E3C4CD-907F-433E-A211-3000E98B0BFA}"/>
    <cellStyle name="Komma 2 2 2 2 2" xfId="318" xr:uid="{E42327C9-F034-4039-8BEA-A102B6A31264}"/>
    <cellStyle name="Komma 2 2 2 2 2 2" xfId="732" xr:uid="{6542659C-C9AE-4B2E-B320-83FA59AA07D1}"/>
    <cellStyle name="Komma 2 2 2 2 3" xfId="525" xr:uid="{440CA19A-385A-4213-8672-5D3D9A9828D3}"/>
    <cellStyle name="Komma 2 2 2 3" xfId="302" xr:uid="{8602C4DF-04CE-4B08-8753-F82185E1C74A}"/>
    <cellStyle name="Komma 2 2 2 3 2" xfId="716" xr:uid="{DE4AA2EA-2C95-40AE-8D97-BA7E12919052}"/>
    <cellStyle name="Komma 2 2 2 4" xfId="509" xr:uid="{6E957CD9-91F9-4266-8E4C-7B489FCA3533}"/>
    <cellStyle name="Komma 2 2 3" xfId="103" xr:uid="{91B5CC34-A2A3-4086-9286-45AE4E724ADB}"/>
    <cellStyle name="Komma 2 2 3 2" xfId="310" xr:uid="{B5B53474-8C9D-4BAB-BBB9-BC0C861186CF}"/>
    <cellStyle name="Komma 2 2 3 2 2" xfId="724" xr:uid="{0D6AEBAC-FFA8-4B6E-A99C-FA60C4950F34}"/>
    <cellStyle name="Komma 2 2 3 3" xfId="517" xr:uid="{99B81968-A4D1-4D4C-9AE0-6FC363321BB8}"/>
    <cellStyle name="Komma 2 2 4" xfId="87" xr:uid="{11269CC2-CD5B-4850-84ED-FA617621C213}"/>
    <cellStyle name="Komma 2 2 4 2" xfId="294" xr:uid="{BEBE76B8-2804-4871-9430-4DBA3813123F}"/>
    <cellStyle name="Komma 2 2 4 2 2" xfId="708" xr:uid="{F5C0F76E-73F5-4D2F-9DB8-57D75930A630}"/>
    <cellStyle name="Komma 2 2 4 3" xfId="501" xr:uid="{61897D63-1348-481D-83CE-BDC1781C9338}"/>
    <cellStyle name="Komma 2 2 5" xfId="61" xr:uid="{4BECD1D1-2850-47A4-A313-9033BD8A3732}"/>
    <cellStyle name="Komma 2 2 5 2" xfId="272" xr:uid="{EC481E7A-A4B4-4E9E-8C6C-5F602BBCE867}"/>
    <cellStyle name="Komma 2 2 5 2 2" xfId="686" xr:uid="{870A103B-242C-47AE-9622-01262261D4A9}"/>
    <cellStyle name="Komma 2 2 5 3" xfId="479" xr:uid="{BF7C7FAC-5C45-4462-A240-B1B5B5C64826}"/>
    <cellStyle name="Komma 2 2 6" xfId="138" xr:uid="{9AA1130D-D00D-4A97-9660-C6ADBD503587}"/>
    <cellStyle name="Komma 2 2 6 2" xfId="345" xr:uid="{AE69A8E9-BFA3-440E-A2CD-49BA460F2AAD}"/>
    <cellStyle name="Komma 2 2 6 2 2" xfId="759" xr:uid="{0744CC49-3425-4B6D-A4CA-7B2BBD0F8BB5}"/>
    <cellStyle name="Komma 2 2 6 3" xfId="552" xr:uid="{9E60EB9E-CCE5-49CD-92D8-4FB8041DC54E}"/>
    <cellStyle name="Komma 2 2 7" xfId="184" xr:uid="{1950D95F-54C1-49BA-860E-5CE5DC822504}"/>
    <cellStyle name="Komma 2 2 7 2" xfId="391" xr:uid="{3A77ACFA-482A-400C-96D4-FDDF7873BD92}"/>
    <cellStyle name="Komma 2 2 7 2 2" xfId="805" xr:uid="{4F151909-E324-4399-8A45-5CC18C37466A}"/>
    <cellStyle name="Komma 2 2 7 3" xfId="598" xr:uid="{872B9B48-4EC6-4702-8845-F57DF980DA86}"/>
    <cellStyle name="Komma 2 2 8" xfId="17" xr:uid="{65C4C788-9662-4E07-B14A-806CE584B7CF}"/>
    <cellStyle name="Komma 2 2 8 2" xfId="649" xr:uid="{A866B1D5-0617-4751-A7BE-EE569A7F9655}"/>
    <cellStyle name="Komma 2 2 9" xfId="235" xr:uid="{AE122CC3-3965-4D2D-8907-9DECBC314C6E}"/>
    <cellStyle name="Komma 2 3" xfId="23" xr:uid="{8CC12EB6-14E3-456C-BD51-3ED0C0B72F16}"/>
    <cellStyle name="Komma 2 3 2" xfId="107" xr:uid="{B71285B1-4B6F-4077-9A6A-509EF0FD8EC2}"/>
    <cellStyle name="Komma 2 3 2 2" xfId="314" xr:uid="{9080D4B9-3EAF-49FE-996F-255EC09F4ECD}"/>
    <cellStyle name="Komma 2 3 2 2 2" xfId="728" xr:uid="{5E16ED6B-B816-4B3E-800E-626406848AC3}"/>
    <cellStyle name="Komma 2 3 2 3" xfId="521" xr:uid="{030E98CA-849E-4BDD-AD54-0F6C7609401C}"/>
    <cellStyle name="Komma 2 3 3" xfId="91" xr:uid="{57D89945-D868-4B7E-BBBA-D05CB53CD571}"/>
    <cellStyle name="Komma 2 3 3 2" xfId="298" xr:uid="{098DC443-7BF9-4FDA-9AA2-BDAC2BBD7E80}"/>
    <cellStyle name="Komma 2 3 3 2 2" xfId="712" xr:uid="{53E2F55F-BF99-445A-B257-8DF798946A57}"/>
    <cellStyle name="Komma 2 3 3 3" xfId="505" xr:uid="{9FDED6F3-7B70-4211-8110-AC8AB426CA50}"/>
    <cellStyle name="Komma 2 3 4" xfId="67" xr:uid="{4ABE13B8-7FE3-4C2C-ADD9-ACDEDDBA169D}"/>
    <cellStyle name="Komma 2 3 4 2" xfId="276" xr:uid="{DD51E28F-7D53-45AB-A8E0-3DEE1521E73F}"/>
    <cellStyle name="Komma 2 3 4 2 2" xfId="690" xr:uid="{F5EE1F26-A3EF-4075-A62E-8F83248A149A}"/>
    <cellStyle name="Komma 2 3 4 3" xfId="483" xr:uid="{613C2168-E222-4F33-B7A3-5760A58834A3}"/>
    <cellStyle name="Komma 2 3 5" xfId="207" xr:uid="{7C65BA03-F924-41B6-8061-BE250C6360B7}"/>
    <cellStyle name="Komma 2 3 5 2" xfId="414" xr:uid="{09765D87-7C3C-4D03-8264-096B69D8E4BE}"/>
    <cellStyle name="Komma 2 3 5 2 2" xfId="828" xr:uid="{A800A4AE-6FEC-4466-B8E9-88F2DBD753AB}"/>
    <cellStyle name="Komma 2 3 5 3" xfId="621" xr:uid="{6C2C43C1-0DE7-4C5A-86FB-57D737694B3B}"/>
    <cellStyle name="Komma 2 3 6" xfId="239" xr:uid="{87CE3703-49F8-4506-B48F-387A3CB60365}"/>
    <cellStyle name="Komma 2 3 6 2" xfId="653" xr:uid="{2D84FD6A-1700-41F4-AB9B-5A87EAE401C2}"/>
    <cellStyle name="Komma 2 3 7" xfId="446" xr:uid="{72609EEE-84D9-42CD-B9F2-051B2654AAB7}"/>
    <cellStyle name="Komma 2 4" xfId="79" xr:uid="{407B929F-2727-4E90-8ABB-F9476A2832D1}"/>
    <cellStyle name="Komma 2 4 2" xfId="99" xr:uid="{73B0D6F8-150A-4CC7-9D2E-F616D56C9BEC}"/>
    <cellStyle name="Komma 2 4 2 2" xfId="306" xr:uid="{DD5D97BD-D5D7-4E4E-AEC7-4BBA8FA95E2C}"/>
    <cellStyle name="Komma 2 4 2 2 2" xfId="720" xr:uid="{AFEC4FF6-5807-44FE-8B8D-74ECB219142F}"/>
    <cellStyle name="Komma 2 4 2 3" xfId="513" xr:uid="{99EAC48A-F5CD-4519-9C64-2D5AFF877C7E}"/>
    <cellStyle name="Komma 2 4 3" xfId="286" xr:uid="{30AA50FC-A3B1-4C9E-B0D3-EB8B003DF371}"/>
    <cellStyle name="Komma 2 4 3 2" xfId="700" xr:uid="{DB809D95-7313-485E-A004-D59E1340D63F}"/>
    <cellStyle name="Komma 2 4 4" xfId="493" xr:uid="{E9B8BA12-D76A-4B47-9551-4B43DA7130FA}"/>
    <cellStyle name="Komma 2 5" xfId="83" xr:uid="{30C9324B-C52F-4823-A0FB-5601035BC09B}"/>
    <cellStyle name="Komma 2 5 2" xfId="290" xr:uid="{E80DDCA7-FFBF-431E-A467-E06BC70435F8}"/>
    <cellStyle name="Komma 2 5 2 2" xfId="704" xr:uid="{C0E670D4-6F35-4F26-8DA4-76110F2E14B7}"/>
    <cellStyle name="Komma 2 5 3" xfId="497" xr:uid="{A0EDF5C6-E78B-4F2F-BDD1-72EE0953F10C}"/>
    <cellStyle name="Komma 2 6" xfId="51" xr:uid="{C4813EC0-4449-4312-97B6-68172F2FE096}"/>
    <cellStyle name="Komma 2 6 2" xfId="262" xr:uid="{93933B26-066E-49BA-A120-51212DA00E6A}"/>
    <cellStyle name="Komma 2 6 2 2" xfId="676" xr:uid="{AF479572-3095-4AC6-AB45-6B4BE4465DCF}"/>
    <cellStyle name="Komma 2 6 3" xfId="469" xr:uid="{CF387248-B3EB-46A9-8886-22655C2B2A8B}"/>
    <cellStyle name="Komma 2 7" xfId="115" xr:uid="{3E8325F0-C9E2-48DE-BACF-4001B62EF7AA}"/>
    <cellStyle name="Komma 2 7 2" xfId="322" xr:uid="{B1F73E1C-DFFC-491A-B257-B089A5288416}"/>
    <cellStyle name="Komma 2 7 2 2" xfId="736" xr:uid="{F8F42959-C7C0-47B7-ACEA-D2B7A67BFFEA}"/>
    <cellStyle name="Komma 2 7 3" xfId="529" xr:uid="{48465B8A-3656-4222-B270-B1A5B4298D40}"/>
    <cellStyle name="Komma 2 8" xfId="161" xr:uid="{8212462F-A341-4B43-9648-3B735239460A}"/>
    <cellStyle name="Komma 2 8 2" xfId="368" xr:uid="{4F1DBE2A-978D-4689-94C1-D4765AF90DD6}"/>
    <cellStyle name="Komma 2 8 2 2" xfId="782" xr:uid="{E390EF46-CA1D-4435-9B36-288DA00E6AAE}"/>
    <cellStyle name="Komma 2 8 3" xfId="575" xr:uid="{A6DF9F60-BA84-45BF-98BF-3DEE68DAF0DE}"/>
    <cellStyle name="Komma 2 9" xfId="10" xr:uid="{09D72B0E-8D73-4F40-97D1-376C1DEAAE7C}"/>
    <cellStyle name="Komma 2 9 2" xfId="643" xr:uid="{2FE20D23-8A9F-4C8E-A1F0-5BEE5508835D}"/>
    <cellStyle name="Komma 3" xfId="2" xr:uid="{00000000-0005-0000-0000-000003000000}"/>
    <cellStyle name="Komma 3 2" xfId="92" xr:uid="{46344D23-3741-4702-9283-4334600832F6}"/>
    <cellStyle name="Komma 3 2 2" xfId="108" xr:uid="{17702611-902A-49DB-89FF-C6D64349ED5D}"/>
    <cellStyle name="Komma 3 2 2 2" xfId="315" xr:uid="{C42B59E6-9610-4F80-8334-11DFB9BE8521}"/>
    <cellStyle name="Komma 3 2 2 2 2" xfId="729" xr:uid="{7A7313A8-BE56-47A4-8AD2-6DAFC66F711B}"/>
    <cellStyle name="Komma 3 2 2 3" xfId="522" xr:uid="{64D67D44-4373-453C-A05A-BAB456D894AD}"/>
    <cellStyle name="Komma 3 2 3" xfId="299" xr:uid="{6D93BF7E-05F9-4A83-9407-DC1E0CCA311B}"/>
    <cellStyle name="Komma 3 2 3 2" xfId="713" xr:uid="{6BC64FC1-322D-4B03-A78A-EA080854BB26}"/>
    <cellStyle name="Komma 3 2 4" xfId="506" xr:uid="{2D76C506-50C6-4EA3-BE05-C8E5BFFB5AB6}"/>
    <cellStyle name="Komma 3 3" xfId="100" xr:uid="{FCAC4D80-CDC5-4244-B881-6BBC28DC102F}"/>
    <cellStyle name="Komma 3 3 2" xfId="307" xr:uid="{FFCA79F8-BAB2-4E66-9E94-6768B30090BA}"/>
    <cellStyle name="Komma 3 3 2 2" xfId="721" xr:uid="{CE711A8F-4789-4E13-B17D-B5DFAA5CF907}"/>
    <cellStyle name="Komma 3 3 3" xfId="514" xr:uid="{93467FF2-098A-418A-AEAF-E136FFE5FBF1}"/>
    <cellStyle name="Komma 3 4" xfId="84" xr:uid="{3E5468DE-11DC-4CD0-B363-E37367CF5133}"/>
    <cellStyle name="Komma 3 4 2" xfId="291" xr:uid="{8651443D-F58F-4CEC-A3F5-9C437F649C81}"/>
    <cellStyle name="Komma 3 4 2 2" xfId="705" xr:uid="{6CA38ED4-3C5F-4699-A7E3-E6AC63B4643D}"/>
    <cellStyle name="Komma 3 4 3" xfId="498" xr:uid="{05AEF5F8-4A18-496F-A79A-9111BE68EB00}"/>
    <cellStyle name="Komma 3 5" xfId="58" xr:uid="{55ADF966-C3D9-4CB6-8732-4528E6463C8D}"/>
    <cellStyle name="Komma 3 5 2" xfId="269" xr:uid="{8177F05C-8F6D-4FB5-822B-BCA973D4488E}"/>
    <cellStyle name="Komma 3 5 2 2" xfId="683" xr:uid="{E8102CCD-08C2-46A7-ADB9-8AB8EABBAFC8}"/>
    <cellStyle name="Komma 3 5 3" xfId="476" xr:uid="{930F2537-C33D-4F8A-ACCE-2F2BEE121C6A}"/>
    <cellStyle name="Komma 3 6" xfId="14" xr:uid="{6B1344E1-B7A8-4A8D-84D6-949F52B8494C}"/>
    <cellStyle name="Komma 3 6 2" xfId="646" xr:uid="{7D8AFE4E-31C3-4DEE-80AC-7991A86D41CB}"/>
    <cellStyle name="Komma 3 7" xfId="232" xr:uid="{3D1646BA-99AF-4260-BE7E-875FE2AF8797}"/>
    <cellStyle name="Komma 3 8" xfId="439" xr:uid="{0BB3BFEA-433F-4D06-82EC-A576224AA700}"/>
    <cellStyle name="Komma 4" xfId="76" xr:uid="{48553A22-9F8C-4238-ABB6-5D86F1BE24AD}"/>
    <cellStyle name="Komma 4 2" xfId="96" xr:uid="{25CA9927-ECF6-4846-A415-67B38F4A2423}"/>
    <cellStyle name="Komma 4 2 2" xfId="303" xr:uid="{7127E025-4BAC-4820-8B17-8BC0DD913A6D}"/>
    <cellStyle name="Komma 4 2 2 2" xfId="717" xr:uid="{DF147514-1A6B-476E-BF62-06DB1C8AB0C2}"/>
    <cellStyle name="Komma 4 2 3" xfId="510" xr:uid="{639CA152-E3E8-4C8F-8EC8-86ED6D5DAB1D}"/>
    <cellStyle name="Komma 4 3" xfId="283" xr:uid="{AE58B77E-0A17-496C-BEC5-2C6978D53B94}"/>
    <cellStyle name="Komma 4 3 2" xfId="697" xr:uid="{7B6A029A-E6E1-4C33-AAF8-20F2529A0CE0}"/>
    <cellStyle name="Komma 4 4" xfId="490" xr:uid="{E0C8270D-7EBC-4FC1-918E-1767895D8DB1}"/>
    <cellStyle name="Komma 5" xfId="80" xr:uid="{1270275B-7AC3-47CF-959A-6DB98AB51CCF}"/>
    <cellStyle name="Komma 5 2" xfId="287" xr:uid="{7759D03E-FEC7-453F-9D5A-50958C36C90A}"/>
    <cellStyle name="Komma 5 2 2" xfId="701" xr:uid="{7F2E4B37-B80F-4ACF-B7A1-3AD7D7F405CC}"/>
    <cellStyle name="Komma 5 3" xfId="494" xr:uid="{E07BE90C-4E23-40CC-AA10-A2828D0C438E}"/>
    <cellStyle name="Komma 6" xfId="5" xr:uid="{915F1423-B10C-489C-A4A9-7AFD7E71BA28}"/>
    <cellStyle name="Komma 6 2" xfId="228" xr:uid="{1EEB44CD-DF0A-41BA-AB95-5FC98B80522E}"/>
    <cellStyle name="Komma 6 2 2" xfId="642" xr:uid="{EF7302E3-8926-4C53-B04B-F5E7E34BD594}"/>
    <cellStyle name="Komma 6 3" xfId="435" xr:uid="{30E6009F-40DF-48BF-B21B-89EC4CECBB04}"/>
    <cellStyle name="Komma 7" xfId="4" xr:uid="{1F64863D-E09D-4C08-9017-D1E47ABC3AAF}"/>
    <cellStyle name="Komma 7 2" xfId="641" xr:uid="{89C537AC-6946-41BA-A71E-9FC572D8FC75}"/>
    <cellStyle name="Komma 8" xfId="227" xr:uid="{76953ECE-F049-4A67-A2CD-982FA5828F72}"/>
    <cellStyle name="Komma 9" xfId="434" xr:uid="{35417825-8895-4B65-92FF-D75A244C51AE}"/>
    <cellStyle name="Milliers 2" xfId="11" xr:uid="{2BDBDC6F-9108-4994-A66E-9DED7927CB00}"/>
    <cellStyle name="Milliers 2 10" xfId="159" xr:uid="{76ADE45F-A6F1-439D-8334-5DFCF2140475}"/>
    <cellStyle name="Milliers 2 10 2" xfId="366" xr:uid="{E921B47F-6354-4B4D-A328-18C418A06F87}"/>
    <cellStyle name="Milliers 2 10 2 2" xfId="780" xr:uid="{F4AE0554-BA8C-4913-9684-669C7FE05DEC}"/>
    <cellStyle name="Milliers 2 10 3" xfId="573" xr:uid="{DCB1A4C3-DE95-4F03-9762-F3BB60461DAB}"/>
    <cellStyle name="Milliers 2 11" xfId="230" xr:uid="{CF7FDB1A-0626-4AFE-83B0-3B08AF87EAF1}"/>
    <cellStyle name="Milliers 2 11 2" xfId="644" xr:uid="{10C19BF2-F382-469D-8BEC-7D99578F3DF2}"/>
    <cellStyle name="Milliers 2 12" xfId="437" xr:uid="{48997FCB-6347-4C53-8246-5EC0F191A21C}"/>
    <cellStyle name="Milliers 2 2" xfId="15" xr:uid="{D68A5C25-8FBC-4741-9D37-83A7CDB0C1A8}"/>
    <cellStyle name="Milliers 2 2 2" xfId="37" xr:uid="{F1E62D69-2F66-4BD1-9EF9-484F7A91F600}"/>
    <cellStyle name="Milliers 2 2 2 2" xfId="109" xr:uid="{16082612-F97F-4A6F-9F48-8C201BA039FA}"/>
    <cellStyle name="Milliers 2 2 2 2 2" xfId="149" xr:uid="{83123C1E-44E3-4D66-9CD9-BA0BA87D60CF}"/>
    <cellStyle name="Milliers 2 2 2 2 2 2" xfId="356" xr:uid="{08CC1D45-8CF3-4C7D-82E8-8E6448F04F21}"/>
    <cellStyle name="Milliers 2 2 2 2 2 2 2" xfId="770" xr:uid="{D17D9FB0-0DD5-4A04-89C7-B84B6B351986}"/>
    <cellStyle name="Milliers 2 2 2 2 2 3" xfId="563" xr:uid="{7FC83352-FCA1-441B-BF61-5978590736D1}"/>
    <cellStyle name="Milliers 2 2 2 2 3" xfId="195" xr:uid="{4AD602AE-F505-4657-B6D9-EB00FAFF0532}"/>
    <cellStyle name="Milliers 2 2 2 2 3 2" xfId="402" xr:uid="{5D6EBEC7-288D-49B9-B55F-4AC7D2111890}"/>
    <cellStyle name="Milliers 2 2 2 2 3 2 2" xfId="816" xr:uid="{4039DCAB-23F1-4F3E-8AB6-E2C1142B3385}"/>
    <cellStyle name="Milliers 2 2 2 2 3 3" xfId="609" xr:uid="{171F8B54-E28E-46F8-A4DB-70D241374044}"/>
    <cellStyle name="Milliers 2 2 2 2 4" xfId="316" xr:uid="{85EA65A2-D8AF-4390-97E2-0311521C251F}"/>
    <cellStyle name="Milliers 2 2 2 2 4 2" xfId="730" xr:uid="{77BBC532-05E7-4920-A0D4-201F2AF78520}"/>
    <cellStyle name="Milliers 2 2 2 2 5" xfId="523" xr:uid="{C0B11027-477D-40EB-AE6E-822A4C88E85E}"/>
    <cellStyle name="Milliers 2 2 2 3" xfId="93" xr:uid="{1319A0DC-4F8F-4523-A07C-D06D7D236616}"/>
    <cellStyle name="Milliers 2 2 2 3 2" xfId="218" xr:uid="{6A07759D-10C1-4603-AACD-BDC099AD066A}"/>
    <cellStyle name="Milliers 2 2 2 3 2 2" xfId="425" xr:uid="{C24FD78C-C60D-4B4E-9CEE-56078FC39658}"/>
    <cellStyle name="Milliers 2 2 2 3 2 2 2" xfId="839" xr:uid="{989534FE-9A98-48A0-9E9A-2D3F457FCC3A}"/>
    <cellStyle name="Milliers 2 2 2 3 2 3" xfId="632" xr:uid="{2ADF05D0-F412-4555-9C7B-CD328232D1A0}"/>
    <cellStyle name="Milliers 2 2 2 3 3" xfId="300" xr:uid="{44A73EFF-6882-48D8-8831-6AE802D9256D}"/>
    <cellStyle name="Milliers 2 2 2 3 3 2" xfId="714" xr:uid="{BF2F193E-59DE-438A-BACB-55E139995E5F}"/>
    <cellStyle name="Milliers 2 2 2 3 4" xfId="507" xr:uid="{32F424DC-0D85-46DF-B03B-7176AA3B8F45}"/>
    <cellStyle name="Milliers 2 2 2 4" xfId="68" xr:uid="{78138C10-5C56-4DB3-8082-B174FE73993B}"/>
    <cellStyle name="Milliers 2 2 2 4 2" xfId="277" xr:uid="{E9D48545-8A45-4D7A-BCC6-A853B46481EF}"/>
    <cellStyle name="Milliers 2 2 2 4 2 2" xfId="691" xr:uid="{D5B0165B-3BD6-4A16-8CE0-1F2B8B7E54D7}"/>
    <cellStyle name="Milliers 2 2 2 4 3" xfId="484" xr:uid="{51459C85-489C-48D9-9549-5AB9BDEDEEA6}"/>
    <cellStyle name="Milliers 2 2 2 5" xfId="126" xr:uid="{15B78214-EE57-49A4-B2B6-9CA0B5BC9DE4}"/>
    <cellStyle name="Milliers 2 2 2 5 2" xfId="333" xr:uid="{4616B870-57A2-459A-BA01-820E6FE06D45}"/>
    <cellStyle name="Milliers 2 2 2 5 2 2" xfId="747" xr:uid="{03C8BEB2-416F-4B1E-A547-9F4EE6C16C78}"/>
    <cellStyle name="Milliers 2 2 2 5 3" xfId="540" xr:uid="{65DA3592-A51F-4CC7-B327-63CDAB594F22}"/>
    <cellStyle name="Milliers 2 2 2 6" xfId="172" xr:uid="{55542CFE-D832-419F-9F53-97A54BBA1325}"/>
    <cellStyle name="Milliers 2 2 2 6 2" xfId="379" xr:uid="{3195BAD1-BB4C-4562-A2B7-9B5FDFFDE11D}"/>
    <cellStyle name="Milliers 2 2 2 6 2 2" xfId="793" xr:uid="{7B6BFAAB-B272-4CF4-8809-56034FD12099}"/>
    <cellStyle name="Milliers 2 2 2 6 3" xfId="586" xr:uid="{5BDFFA5D-3659-4D74-8714-94816371CE47}"/>
    <cellStyle name="Milliers 2 2 2 7" xfId="250" xr:uid="{6F7C9276-6713-4F6E-B430-E8CA6776607C}"/>
    <cellStyle name="Milliers 2 2 2 7 2" xfId="664" xr:uid="{E446F841-C93A-4696-ACF1-C5E46FB6FF8E}"/>
    <cellStyle name="Milliers 2 2 2 8" xfId="457" xr:uid="{AF31DB28-B864-4CBD-A550-0DA056EDEADC}"/>
    <cellStyle name="Milliers 2 2 3" xfId="45" xr:uid="{911F5246-17F2-46EB-A0B7-1F38702B0080}"/>
    <cellStyle name="Milliers 2 2 3 2" xfId="101" xr:uid="{1E1049E6-6D44-4340-A053-9DE3F4B3B915}"/>
    <cellStyle name="Milliers 2 2 3 2 2" xfId="155" xr:uid="{BDD19E72-1D27-47AD-ACB2-4E9280F3CAAF}"/>
    <cellStyle name="Milliers 2 2 3 2 2 2" xfId="362" xr:uid="{97045230-1EF1-42B0-AB6A-949FCE2BEB44}"/>
    <cellStyle name="Milliers 2 2 3 2 2 2 2" xfId="776" xr:uid="{CE6E685F-88C8-4126-BB2E-3CB2F30C81F3}"/>
    <cellStyle name="Milliers 2 2 3 2 2 3" xfId="569" xr:uid="{A5BD6B9C-515F-49D7-8743-E5967112D88B}"/>
    <cellStyle name="Milliers 2 2 3 2 3" xfId="201" xr:uid="{6A4B462D-3964-4F3B-8C69-38C0CFAC3B2A}"/>
    <cellStyle name="Milliers 2 2 3 2 3 2" xfId="408" xr:uid="{084952DA-443C-47EE-B99F-FC64DFBF4A27}"/>
    <cellStyle name="Milliers 2 2 3 2 3 2 2" xfId="822" xr:uid="{0E7410EF-E657-4567-8E9E-84223CB1E5AD}"/>
    <cellStyle name="Milliers 2 2 3 2 3 3" xfId="615" xr:uid="{EE670852-58A5-4B15-837A-CC999DA40037}"/>
    <cellStyle name="Milliers 2 2 3 2 4" xfId="308" xr:uid="{81F08A60-E440-434E-BA5C-D56214F77DEF}"/>
    <cellStyle name="Milliers 2 2 3 2 4 2" xfId="722" xr:uid="{79AAEF80-E5CE-4D8C-87F3-797335B7AA5D}"/>
    <cellStyle name="Milliers 2 2 3 2 5" xfId="515" xr:uid="{E47E1537-A5D0-4689-B8E2-9557973E5CCF}"/>
    <cellStyle name="Milliers 2 2 3 3" xfId="132" xr:uid="{8CA158B7-77EC-46D7-B2BA-0F027C50FD97}"/>
    <cellStyle name="Milliers 2 2 3 3 2" xfId="224" xr:uid="{DECD0CDD-354C-4E41-8639-A3696129FDE1}"/>
    <cellStyle name="Milliers 2 2 3 3 2 2" xfId="431" xr:uid="{65CA5272-AF51-4B4C-9821-420445AD648C}"/>
    <cellStyle name="Milliers 2 2 3 3 2 2 2" xfId="845" xr:uid="{38FC2FBB-BE0D-4E9C-84E1-6722B3FCF86B}"/>
    <cellStyle name="Milliers 2 2 3 3 2 3" xfId="638" xr:uid="{3F497D82-06AB-403E-B910-DC0E2D90E3C9}"/>
    <cellStyle name="Milliers 2 2 3 3 3" xfId="339" xr:uid="{CD5B9B98-E856-4D98-9602-A9884968652D}"/>
    <cellStyle name="Milliers 2 2 3 3 3 2" xfId="753" xr:uid="{813CEE9B-E92C-48DD-8F93-C1BFBEBD1215}"/>
    <cellStyle name="Milliers 2 2 3 3 4" xfId="546" xr:uid="{6BBEB296-7CCD-429D-AACB-16DE5D7F7401}"/>
    <cellStyle name="Milliers 2 2 3 4" xfId="178" xr:uid="{DD59B2BA-6A4C-4682-8625-C9C8866E5051}"/>
    <cellStyle name="Milliers 2 2 3 4 2" xfId="385" xr:uid="{96CA753D-F5FB-4104-ABE0-9D0C4EFA39BD}"/>
    <cellStyle name="Milliers 2 2 3 4 2 2" xfId="799" xr:uid="{20EE2D1B-4E1E-47F6-89F0-006726E1BB79}"/>
    <cellStyle name="Milliers 2 2 3 4 3" xfId="592" xr:uid="{758EACA4-073C-4571-9C81-91C781EE90D4}"/>
    <cellStyle name="Milliers 2 2 3 5" xfId="256" xr:uid="{DCD5A7AE-9F2F-422D-8607-58B72DB54116}"/>
    <cellStyle name="Milliers 2 2 3 5 2" xfId="670" xr:uid="{94CF05B9-A94A-49E0-A966-E2920931FB14}"/>
    <cellStyle name="Milliers 2 2 3 6" xfId="463" xr:uid="{D7EB9754-5FA9-4121-8B0A-AF5FD586D4C7}"/>
    <cellStyle name="Milliers 2 2 4" xfId="24" xr:uid="{70E711A0-7E51-41B3-804A-4692AE60E846}"/>
    <cellStyle name="Milliers 2 2 4 2" xfId="85" xr:uid="{8711038F-FB88-4E5F-928F-6FDD2319E8DF}"/>
    <cellStyle name="Milliers 2 2 4 2 2" xfId="292" xr:uid="{B28ADC9E-BB58-4EB9-A659-D23E449A5570}"/>
    <cellStyle name="Milliers 2 2 4 2 2 2" xfId="706" xr:uid="{0EFFABA0-C1B8-403F-A2D0-014E991CBCEC}"/>
    <cellStyle name="Milliers 2 2 4 2 3" xfId="499" xr:uid="{6151EF8A-17E3-4F83-B339-EBCEF04F8F76}"/>
    <cellStyle name="Milliers 2 2 4 3" xfId="139" xr:uid="{EA7864B6-B921-48D1-8599-BB9C5CDCE808}"/>
    <cellStyle name="Milliers 2 2 4 3 2" xfId="346" xr:uid="{A8A86A55-1223-4EDD-BFED-862BD24F66EC}"/>
    <cellStyle name="Milliers 2 2 4 3 2 2" xfId="760" xr:uid="{BE1AF937-19BF-4292-B959-A4EDF3E7975B}"/>
    <cellStyle name="Milliers 2 2 4 3 3" xfId="553" xr:uid="{5533B508-17F5-4E61-B7AE-AEA7B2C7BE6A}"/>
    <cellStyle name="Milliers 2 2 4 4" xfId="185" xr:uid="{32828317-4FE4-4E8E-AFF8-B517818254E2}"/>
    <cellStyle name="Milliers 2 2 4 4 2" xfId="392" xr:uid="{B9A85FC6-D91A-4875-9A36-9CFB22512F40}"/>
    <cellStyle name="Milliers 2 2 4 4 2 2" xfId="806" xr:uid="{5287E337-8083-4817-A0EE-06EE5FE5EA03}"/>
    <cellStyle name="Milliers 2 2 4 4 3" xfId="599" xr:uid="{F7C45709-0346-4D45-9BA8-B49AAB8D6798}"/>
    <cellStyle name="Milliers 2 2 4 5" xfId="240" xr:uid="{E6ACF8CD-9393-4FF4-A301-836E9E0753EC}"/>
    <cellStyle name="Milliers 2 2 4 5 2" xfId="654" xr:uid="{A8106190-A1F0-4F30-AA0D-067243830BDC}"/>
    <cellStyle name="Milliers 2 2 4 6" xfId="447" xr:uid="{970B8A88-0ED8-4297-86F2-BC25ED0829B1}"/>
    <cellStyle name="Milliers 2 2 5" xfId="52" xr:uid="{8CDE85AF-D37B-45F7-BA2F-BFC3C812B33F}"/>
    <cellStyle name="Milliers 2 2 5 2" xfId="208" xr:uid="{8E0150EA-CB32-4F26-A26C-EF2DD5D65DA2}"/>
    <cellStyle name="Milliers 2 2 5 2 2" xfId="415" xr:uid="{4F91404F-53AB-43ED-842D-11CCE237596D}"/>
    <cellStyle name="Milliers 2 2 5 2 2 2" xfId="829" xr:uid="{5078AFA6-509F-47A3-B898-871AB25D5F40}"/>
    <cellStyle name="Milliers 2 2 5 2 3" xfId="622" xr:uid="{FEF123F5-1C08-45B0-9BE5-5C9EE615EA11}"/>
    <cellStyle name="Milliers 2 2 5 3" xfId="263" xr:uid="{AC717608-03EE-43B4-89D7-D59E2D52F119}"/>
    <cellStyle name="Milliers 2 2 5 3 2" xfId="677" xr:uid="{2978CCFF-FC4D-481A-9357-EF3C15D16FC5}"/>
    <cellStyle name="Milliers 2 2 5 4" xfId="470" xr:uid="{BB4C08FC-82C6-44C1-A160-93E519723F65}"/>
    <cellStyle name="Milliers 2 2 6" xfId="116" xr:uid="{576F3980-4671-480F-AE56-9860DF2927FA}"/>
    <cellStyle name="Milliers 2 2 6 2" xfId="323" xr:uid="{68CEA684-DE4F-4777-98EB-6E8814E6B7E8}"/>
    <cellStyle name="Milliers 2 2 6 2 2" xfId="737" xr:uid="{9A0A0BF3-BD55-4B13-AAE7-61207292E5E3}"/>
    <cellStyle name="Milliers 2 2 6 3" xfId="530" xr:uid="{CEA48885-CEC2-47B3-98F2-0356CC105B2F}"/>
    <cellStyle name="Milliers 2 2 7" xfId="162" xr:uid="{E76E6FFE-3B39-42FD-B65D-A7EBF29A99D7}"/>
    <cellStyle name="Milliers 2 2 7 2" xfId="369" xr:uid="{6FF21D14-8B3D-4844-8DD1-F118D8FA89B0}"/>
    <cellStyle name="Milliers 2 2 7 2 2" xfId="783" xr:uid="{8C2B8DCF-2604-496C-932E-392D1D458359}"/>
    <cellStyle name="Milliers 2 2 7 3" xfId="576" xr:uid="{D2368FA3-5C04-4CD0-8BC0-8272BE9BE7A2}"/>
    <cellStyle name="Milliers 2 2 8" xfId="233" xr:uid="{4808CD35-1F8D-4866-BBCC-D154B322EB4C}"/>
    <cellStyle name="Milliers 2 2 8 2" xfId="647" xr:uid="{5630F0F0-6D62-4F38-8807-7CD00992F0C4}"/>
    <cellStyle name="Milliers 2 2 9" xfId="440" xr:uid="{3396DCC7-9D33-4A71-9AB1-24E1043B9E43}"/>
    <cellStyle name="Milliers 2 3" xfId="28" xr:uid="{52451802-C898-4325-BFEB-3F46D6C992EC}"/>
    <cellStyle name="Milliers 2 3 2" xfId="72" xr:uid="{C36D8EDA-951E-45C2-B22F-5801881C5473}"/>
    <cellStyle name="Milliers 2 3 2 2" xfId="105" xr:uid="{79D314B9-93B5-4CDB-9A74-E0D62BC9E1E9}"/>
    <cellStyle name="Milliers 2 3 2 2 2" xfId="312" xr:uid="{AAC88649-81EF-4CFA-8D3E-A7177DA533EC}"/>
    <cellStyle name="Milliers 2 3 2 2 2 2" xfId="726" xr:uid="{FB495BDE-C5FD-4D84-8622-8ABC68764B18}"/>
    <cellStyle name="Milliers 2 3 2 2 3" xfId="519" xr:uid="{38F0536A-524D-4D9A-9011-8E28BB245588}"/>
    <cellStyle name="Milliers 2 3 2 3" xfId="142" xr:uid="{44D50E8D-D616-4FDD-BDC8-EE5DC36D4F15}"/>
    <cellStyle name="Milliers 2 3 2 3 2" xfId="349" xr:uid="{AF516424-D5F1-4ED6-A568-CF3B9214A4BD}"/>
    <cellStyle name="Milliers 2 3 2 3 2 2" xfId="763" xr:uid="{BDAF6096-9BA7-4045-8DD9-D90D25428301}"/>
    <cellStyle name="Milliers 2 3 2 3 3" xfId="556" xr:uid="{B3F289E6-2BD4-46E6-BA19-48A1B211CB2F}"/>
    <cellStyle name="Milliers 2 3 2 4" xfId="188" xr:uid="{D0C330E2-519A-4034-888E-70EAD811099F}"/>
    <cellStyle name="Milliers 2 3 2 4 2" xfId="395" xr:uid="{4C5AB609-FC77-4717-919E-680DE72A108E}"/>
    <cellStyle name="Milliers 2 3 2 4 2 2" xfId="809" xr:uid="{D5FD1ED9-4E6C-43BE-867D-98E2FAA569AC}"/>
    <cellStyle name="Milliers 2 3 2 4 3" xfId="602" xr:uid="{8F009934-B20B-4240-9A1C-FC39C8CD30BF}"/>
    <cellStyle name="Milliers 2 3 2 5" xfId="280" xr:uid="{627386BF-3366-4FEC-ABA3-8D6DD2C50EB1}"/>
    <cellStyle name="Milliers 2 3 2 5 2" xfId="694" xr:uid="{39E7AD2A-6E1F-41CB-BB39-DE85267CB499}"/>
    <cellStyle name="Milliers 2 3 2 6" xfId="487" xr:uid="{C3D8113A-98B9-4C06-B8E9-25B5A2E080AF}"/>
    <cellStyle name="Milliers 2 3 3" xfId="89" xr:uid="{22F70A00-4DB8-43ED-AB22-C20D27F13E26}"/>
    <cellStyle name="Milliers 2 3 3 2" xfId="211" xr:uid="{EBD92B3F-459B-4F83-B879-DF89619FFEAC}"/>
    <cellStyle name="Milliers 2 3 3 2 2" xfId="418" xr:uid="{49A812D1-EFAD-49CD-B077-498C160A9475}"/>
    <cellStyle name="Milliers 2 3 3 2 2 2" xfId="832" xr:uid="{37815A80-F6B4-48E8-A3A0-BDE5E59D6E73}"/>
    <cellStyle name="Milliers 2 3 3 2 3" xfId="625" xr:uid="{2EE52755-7ABA-4A62-9A4C-C99E58C70AFE}"/>
    <cellStyle name="Milliers 2 3 3 3" xfId="296" xr:uid="{D91E97BE-A315-46F9-9CA8-4850031FDDD0}"/>
    <cellStyle name="Milliers 2 3 3 3 2" xfId="710" xr:uid="{BDC92BC6-1C53-4B49-8587-F69E733E8807}"/>
    <cellStyle name="Milliers 2 3 3 4" xfId="503" xr:uid="{57440153-1540-4701-B1E1-B2C59772615E}"/>
    <cellStyle name="Milliers 2 3 4" xfId="55" xr:uid="{B8CFA8A7-8416-48FA-92DB-8F5F7E04A0BA}"/>
    <cellStyle name="Milliers 2 3 4 2" xfId="266" xr:uid="{6C3E3EDA-C688-4E83-8354-3C3CC6A6DF27}"/>
    <cellStyle name="Milliers 2 3 4 2 2" xfId="680" xr:uid="{DBBDEF0E-31F3-4BD9-986D-87FD4DF4AA8E}"/>
    <cellStyle name="Milliers 2 3 4 3" xfId="473" xr:uid="{039895D8-1033-4CC0-BFCE-AFC3E2541C16}"/>
    <cellStyle name="Milliers 2 3 5" xfId="119" xr:uid="{1D81DEA0-D76E-497C-B724-95D38343A290}"/>
    <cellStyle name="Milliers 2 3 5 2" xfId="326" xr:uid="{68FFFD12-9F9B-4E55-B012-73FC729AA095}"/>
    <cellStyle name="Milliers 2 3 5 2 2" xfId="740" xr:uid="{62BE1384-A5CF-4407-AE5E-95814AB65870}"/>
    <cellStyle name="Milliers 2 3 5 3" xfId="533" xr:uid="{FB274C20-AAE6-4CD8-AB92-6C3E05CE3520}"/>
    <cellStyle name="Milliers 2 3 6" xfId="165" xr:uid="{8F650816-4312-4F2D-8913-F9D3FCF0811D}"/>
    <cellStyle name="Milliers 2 3 6 2" xfId="372" xr:uid="{10AA648C-5EFC-4082-86E8-EB17298CF703}"/>
    <cellStyle name="Milliers 2 3 6 2 2" xfId="786" xr:uid="{3B9626FF-829B-4D76-AB0C-936EBAF1E9A4}"/>
    <cellStyle name="Milliers 2 3 6 3" xfId="579" xr:uid="{09E5DC2E-7672-4089-9C70-A97807C468C5}"/>
    <cellStyle name="Milliers 2 3 7" xfId="243" xr:uid="{56AD585E-3FF6-4957-AC8A-28D6FD55DF6B}"/>
    <cellStyle name="Milliers 2 3 7 2" xfId="657" xr:uid="{30DEECDD-5EC2-4C6B-B0C4-19C6314A5A8B}"/>
    <cellStyle name="Milliers 2 3 8" xfId="450" xr:uid="{594BBA86-AF13-4CF9-A389-0CABB2A8EB07}"/>
    <cellStyle name="Milliers 2 4" xfId="33" xr:uid="{EE837F0D-2FBE-4988-BF54-25228B1C6962}"/>
    <cellStyle name="Milliers 2 4 2" xfId="97" xr:uid="{81B3F1D6-E53C-493F-B7F2-21E3AFBD122D}"/>
    <cellStyle name="Milliers 2 4 2 2" xfId="146" xr:uid="{DFAE6193-47C6-4516-B087-103F58FBB3DA}"/>
    <cellStyle name="Milliers 2 4 2 2 2" xfId="353" xr:uid="{94C4AE2B-E150-4D0D-9F51-9CC766E851E8}"/>
    <cellStyle name="Milliers 2 4 2 2 2 2" xfId="767" xr:uid="{60D75251-30EB-45CA-ADAF-4831E2789139}"/>
    <cellStyle name="Milliers 2 4 2 2 3" xfId="560" xr:uid="{913306DD-2F34-45BF-AA59-5D978FB62B68}"/>
    <cellStyle name="Milliers 2 4 2 3" xfId="192" xr:uid="{0B4DF681-EB55-4561-A528-120AE011580E}"/>
    <cellStyle name="Milliers 2 4 2 3 2" xfId="399" xr:uid="{5063C31A-2D98-4AAF-8290-E28CD69C1BDA}"/>
    <cellStyle name="Milliers 2 4 2 3 2 2" xfId="813" xr:uid="{AD481BED-B016-47DB-9804-7641C1246AA7}"/>
    <cellStyle name="Milliers 2 4 2 3 3" xfId="606" xr:uid="{055475DB-9F4D-4854-B04B-173044BA1B90}"/>
    <cellStyle name="Milliers 2 4 2 4" xfId="304" xr:uid="{0BD45912-DCC4-4C96-BFE2-DC9376073310}"/>
    <cellStyle name="Milliers 2 4 2 4 2" xfId="718" xr:uid="{894E2D76-48F7-4C56-9B3A-600B62F232DF}"/>
    <cellStyle name="Milliers 2 4 2 5" xfId="511" xr:uid="{AFABB377-7E0B-4F33-94A5-70F8A218B1F6}"/>
    <cellStyle name="Milliers 2 4 3" xfId="59" xr:uid="{93FC86BE-C6DA-4B9E-A37D-10F239472E2E}"/>
    <cellStyle name="Milliers 2 4 3 2" xfId="215" xr:uid="{30999EB3-957A-4582-92CA-6CEEEFFC7048}"/>
    <cellStyle name="Milliers 2 4 3 2 2" xfId="422" xr:uid="{87D5357C-8116-4DD5-9F93-5AA83B14C441}"/>
    <cellStyle name="Milliers 2 4 3 2 2 2" xfId="836" xr:uid="{D761686D-05C9-44E2-BA19-C8AA5EE442B4}"/>
    <cellStyle name="Milliers 2 4 3 2 3" xfId="629" xr:uid="{D5342F7F-267E-4C31-85B7-B26473BC176E}"/>
    <cellStyle name="Milliers 2 4 3 3" xfId="270" xr:uid="{9EF8EF79-203B-444C-875E-CE18D1F35D70}"/>
    <cellStyle name="Milliers 2 4 3 3 2" xfId="684" xr:uid="{5B65EAE7-1DF1-455A-A8B3-C40DC4F97334}"/>
    <cellStyle name="Milliers 2 4 3 4" xfId="477" xr:uid="{FF989A02-3858-4440-BCD7-F47C3B09BCD2}"/>
    <cellStyle name="Milliers 2 4 4" xfId="123" xr:uid="{9F1A64B0-C713-4D44-8F33-066C4DBC61D6}"/>
    <cellStyle name="Milliers 2 4 4 2" xfId="330" xr:uid="{17086731-04E5-4644-BBD3-E8F7C7A0F200}"/>
    <cellStyle name="Milliers 2 4 4 2 2" xfId="744" xr:uid="{889EE02E-ED2E-4F2A-908F-719DD7726CC3}"/>
    <cellStyle name="Milliers 2 4 4 3" xfId="537" xr:uid="{4D11AEFD-2CA9-4507-A5DB-14223EF687D3}"/>
    <cellStyle name="Milliers 2 4 5" xfId="169" xr:uid="{3CCF6F0B-593A-4EA8-A0A9-C14642EFB2EF}"/>
    <cellStyle name="Milliers 2 4 5 2" xfId="376" xr:uid="{2FEB6688-C866-4980-BDF5-00AAD72A012C}"/>
    <cellStyle name="Milliers 2 4 5 2 2" xfId="790" xr:uid="{1D91E3A4-4611-4EB8-AA71-399C632F295E}"/>
    <cellStyle name="Milliers 2 4 5 3" xfId="583" xr:uid="{CD19C5CA-AB5E-4AD7-900E-471A411FA0EF}"/>
    <cellStyle name="Milliers 2 4 6" xfId="247" xr:uid="{87F63140-6402-4646-96E2-F5138799C142}"/>
    <cellStyle name="Milliers 2 4 6 2" xfId="661" xr:uid="{75E1C4F2-2DE6-450C-9A41-4E2C2CA8C214}"/>
    <cellStyle name="Milliers 2 4 7" xfId="454" xr:uid="{D20BEBC7-1ACC-4F1E-977B-9E702346E9E8}"/>
    <cellStyle name="Milliers 2 5" xfId="41" xr:uid="{CDC73FAC-1F80-4655-9667-E6F06EAA4C90}"/>
    <cellStyle name="Milliers 2 5 2" xfId="64" xr:uid="{C64277BC-ECE6-4B3A-B3BB-E5116909E120}"/>
    <cellStyle name="Milliers 2 5 2 2" xfId="152" xr:uid="{8416316B-1433-4D6A-8E5A-E842CFF0BEFA}"/>
    <cellStyle name="Milliers 2 5 2 2 2" xfId="359" xr:uid="{3CC697F9-2EF9-430E-8797-79B847690181}"/>
    <cellStyle name="Milliers 2 5 2 2 2 2" xfId="773" xr:uid="{96492187-C659-4E03-8E89-FD4E2806E2B6}"/>
    <cellStyle name="Milliers 2 5 2 2 3" xfId="566" xr:uid="{734D6ED9-4F14-4D29-A827-17865E9B877A}"/>
    <cellStyle name="Milliers 2 5 2 3" xfId="198" xr:uid="{D564592C-AF33-498A-B6C5-73A0B7E7ACFB}"/>
    <cellStyle name="Milliers 2 5 2 3 2" xfId="405" xr:uid="{0A1CD06B-4B54-444C-B7F0-572130B386BF}"/>
    <cellStyle name="Milliers 2 5 2 3 2 2" xfId="819" xr:uid="{B3A29D64-A16E-42FE-8F55-5CCB37CDACAF}"/>
    <cellStyle name="Milliers 2 5 2 3 3" xfId="612" xr:uid="{7BC9E081-84A3-4746-B1B8-05127DE27AFA}"/>
    <cellStyle name="Milliers 2 5 2 4" xfId="274" xr:uid="{FA8B1AEB-F15E-4D03-92A2-9275F4015798}"/>
    <cellStyle name="Milliers 2 5 2 4 2" xfId="688" xr:uid="{956BFC50-35C8-4348-A92A-5A520ABA09A8}"/>
    <cellStyle name="Milliers 2 5 2 5" xfId="481" xr:uid="{D295163E-B119-4C48-BCFB-A42947225135}"/>
    <cellStyle name="Milliers 2 5 3" xfId="129" xr:uid="{B9895F4B-BE0D-40EB-97DA-CB1ED91FA1C3}"/>
    <cellStyle name="Milliers 2 5 3 2" xfId="221" xr:uid="{6AE2755E-3924-4AF3-A956-7B3C1D11CF76}"/>
    <cellStyle name="Milliers 2 5 3 2 2" xfId="428" xr:uid="{2D7A4AA6-F4B1-48A5-9577-8244C4C800AF}"/>
    <cellStyle name="Milliers 2 5 3 2 2 2" xfId="842" xr:uid="{160C3C99-CCC8-462C-8FC0-D80F8D918CB3}"/>
    <cellStyle name="Milliers 2 5 3 2 3" xfId="635" xr:uid="{98F5F509-3825-4F95-95FA-C350A378A9E0}"/>
    <cellStyle name="Milliers 2 5 3 3" xfId="336" xr:uid="{7C0D46D2-8990-45F3-B222-2FBFEBBE02F6}"/>
    <cellStyle name="Milliers 2 5 3 3 2" xfId="750" xr:uid="{10AE27BE-DA7D-4A63-82D2-97B5BEE986B9}"/>
    <cellStyle name="Milliers 2 5 3 4" xfId="543" xr:uid="{D5CCF976-F679-4123-9893-AD0DCA09C7B8}"/>
    <cellStyle name="Milliers 2 5 4" xfId="175" xr:uid="{46CC31E7-83AF-488D-84F7-F5D2CB41DC6F}"/>
    <cellStyle name="Milliers 2 5 4 2" xfId="382" xr:uid="{49D2CAB3-0204-40FC-9D2E-8806FFA0E930}"/>
    <cellStyle name="Milliers 2 5 4 2 2" xfId="796" xr:uid="{07B9DEA4-0A06-4C18-9887-D2CD2437E36D}"/>
    <cellStyle name="Milliers 2 5 4 3" xfId="589" xr:uid="{5D8EBEA5-4886-4DA1-9363-7FB243DE57A7}"/>
    <cellStyle name="Milliers 2 5 5" xfId="253" xr:uid="{B5F65381-C31F-4ECB-980F-85E0B7850E94}"/>
    <cellStyle name="Milliers 2 5 5 2" xfId="667" xr:uid="{DB963C1B-1929-4E70-BDAC-A33913A735EA}"/>
    <cellStyle name="Milliers 2 5 6" xfId="460" xr:uid="{29D652B5-33D7-4665-BCB5-104B9B70ED1D}"/>
    <cellStyle name="Milliers 2 6" xfId="20" xr:uid="{8FBBB5FE-DA72-488B-A138-64E23C4E75E6}"/>
    <cellStyle name="Milliers 2 6 2" xfId="77" xr:uid="{4DA2FD2C-49E3-4993-BC85-02E90A3AA748}"/>
    <cellStyle name="Milliers 2 6 2 2" xfId="284" xr:uid="{65278F43-AFBE-4BAA-979F-13D0620FCEF7}"/>
    <cellStyle name="Milliers 2 6 2 2 2" xfId="698" xr:uid="{287ADAD0-1FDA-4AB8-AAB7-19211912898B}"/>
    <cellStyle name="Milliers 2 6 2 3" xfId="491" xr:uid="{FCF6A125-D76F-4E70-8E99-CF5B34C16770}"/>
    <cellStyle name="Milliers 2 6 3" xfId="136" xr:uid="{ADE4CDCF-CE65-4DC9-840A-FEC42792C55F}"/>
    <cellStyle name="Milliers 2 6 3 2" xfId="343" xr:uid="{3196D76F-81F3-42DE-8E02-BED2172FE655}"/>
    <cellStyle name="Milliers 2 6 3 2 2" xfId="757" xr:uid="{75442053-3882-4280-9AD8-9A855A460528}"/>
    <cellStyle name="Milliers 2 6 3 3" xfId="550" xr:uid="{2C1914FE-B1B3-45D3-968A-53F7E52EEA71}"/>
    <cellStyle name="Milliers 2 6 4" xfId="182" xr:uid="{6FDD098B-4FB7-40AE-A88B-52B633F5101A}"/>
    <cellStyle name="Milliers 2 6 4 2" xfId="389" xr:uid="{667C4B6E-EF77-4C0A-9642-EFE0B21D32C5}"/>
    <cellStyle name="Milliers 2 6 4 2 2" xfId="803" xr:uid="{29085719-8066-4B34-81F1-1BEA569B3EF6}"/>
    <cellStyle name="Milliers 2 6 4 3" xfId="596" xr:uid="{1E6DA24F-20BC-4596-BA60-910E74DC3A8F}"/>
    <cellStyle name="Milliers 2 6 5" xfId="237" xr:uid="{CA348E88-1881-4F74-A436-8B9E7AEF19E6}"/>
    <cellStyle name="Milliers 2 6 5 2" xfId="651" xr:uid="{8C10A54B-5DC3-4D1B-ABE8-96AE77F8FB69}"/>
    <cellStyle name="Milliers 2 6 6" xfId="444" xr:uid="{616AF1AE-EB98-476B-924C-6663F34353D6}"/>
    <cellStyle name="Milliers 2 7" xfId="81" xr:uid="{448D4878-5272-447E-AEC4-141155803618}"/>
    <cellStyle name="Milliers 2 7 2" xfId="205" xr:uid="{4ACE4074-16B9-40EC-8539-E1D92B36A9E4}"/>
    <cellStyle name="Milliers 2 7 2 2" xfId="412" xr:uid="{02F1C262-A7C0-483A-94DF-61CE93519BA1}"/>
    <cellStyle name="Milliers 2 7 2 2 2" xfId="826" xr:uid="{A6EC4C89-4EE3-4C4A-9026-698FB1F3E264}"/>
    <cellStyle name="Milliers 2 7 2 3" xfId="619" xr:uid="{CD1714EF-CF4D-4C72-AABF-E3B1DDC55E07}"/>
    <cellStyle name="Milliers 2 7 3" xfId="288" xr:uid="{184E784C-7E30-45CB-8979-BD7A977E3E6A}"/>
    <cellStyle name="Milliers 2 7 3 2" xfId="702" xr:uid="{A5EC7BA1-35BC-4BF6-A378-EA12652AEAD7}"/>
    <cellStyle name="Milliers 2 7 4" xfId="495" xr:uid="{2C51DB8F-95F2-44ED-9A0E-C4E1D008F241}"/>
    <cellStyle name="Milliers 2 8" xfId="49" xr:uid="{6F2E35A0-CCBD-4301-A3A6-0A1ECC8CBA23}"/>
    <cellStyle name="Milliers 2 8 2" xfId="260" xr:uid="{4F11D91B-3C4A-4D44-A9C7-4043FCCF2846}"/>
    <cellStyle name="Milliers 2 8 2 2" xfId="674" xr:uid="{E7C0B067-2749-4E4B-B4D9-549E6DE8996F}"/>
    <cellStyle name="Milliers 2 8 3" xfId="467" xr:uid="{5B7F07C8-51DE-422A-9B13-6AB61A2F5DE6}"/>
    <cellStyle name="Milliers 2 9" xfId="113" xr:uid="{8330C765-ACB9-4353-9B39-3051BD517680}"/>
    <cellStyle name="Milliers 2 9 2" xfId="320" xr:uid="{89C8E4EB-DAF3-4F92-A68B-2296C9B82171}"/>
    <cellStyle name="Milliers 2 9 2 2" xfId="734" xr:uid="{176F7126-A9AE-4DE0-BEC8-4B7C34423296}"/>
    <cellStyle name="Milliers 2 9 3" xfId="527" xr:uid="{F0045B6C-89FA-4DCB-B260-FF90A61D7FFF}"/>
    <cellStyle name="Milliers 3" xfId="12" xr:uid="{7D81C771-FC64-42FB-94AF-FD5678F38405}"/>
    <cellStyle name="Milliers 3 10" xfId="160" xr:uid="{B13DDCD9-470F-4993-A07C-ECEE2CB75075}"/>
    <cellStyle name="Milliers 3 10 2" xfId="367" xr:uid="{01B3C9DB-5F80-4CF7-9FEA-7A3688C49135}"/>
    <cellStyle name="Milliers 3 10 2 2" xfId="781" xr:uid="{6C8017E0-A945-4518-B44B-ECCDD541B006}"/>
    <cellStyle name="Milliers 3 10 3" xfId="574" xr:uid="{B747C597-FE11-40AE-A06F-526433B7C72F}"/>
    <cellStyle name="Milliers 3 11" xfId="231" xr:uid="{1350703D-D149-4ABD-983D-170A5CF5E155}"/>
    <cellStyle name="Milliers 3 11 2" xfId="645" xr:uid="{3D9AFAA5-933F-48D9-8FDC-CA72A0C6E008}"/>
    <cellStyle name="Milliers 3 12" xfId="438" xr:uid="{B7E5C70F-FD23-4B8C-B69E-6A2EFFDC1999}"/>
    <cellStyle name="Milliers 3 2" xfId="16" xr:uid="{AA162607-3642-4F35-9747-75480B4B82DA}"/>
    <cellStyle name="Milliers 3 2 2" xfId="38" xr:uid="{2943D782-D842-474F-8AB7-5D2B040D4760}"/>
    <cellStyle name="Milliers 3 2 2 2" xfId="110" xr:uid="{BC05E672-2A33-4AFC-B839-3F79FAA3D283}"/>
    <cellStyle name="Milliers 3 2 2 2 2" xfId="150" xr:uid="{97BE6048-7552-4FA4-9428-C27CC18FF030}"/>
    <cellStyle name="Milliers 3 2 2 2 2 2" xfId="357" xr:uid="{8103FB82-9734-4E1B-9E58-7CB25AE5DFB6}"/>
    <cellStyle name="Milliers 3 2 2 2 2 2 2" xfId="771" xr:uid="{DB9B00F9-6863-409F-BFCC-FD244F11A9E9}"/>
    <cellStyle name="Milliers 3 2 2 2 2 3" xfId="564" xr:uid="{17958873-C6F4-44F7-9400-A4772608A718}"/>
    <cellStyle name="Milliers 3 2 2 2 3" xfId="196" xr:uid="{87D1C479-8B59-46A3-9556-B3EC03B3E712}"/>
    <cellStyle name="Milliers 3 2 2 2 3 2" xfId="403" xr:uid="{774E5C26-FC3D-43B5-B011-5790AE72FA90}"/>
    <cellStyle name="Milliers 3 2 2 2 3 2 2" xfId="817" xr:uid="{B2E22070-B0B2-40EB-8144-DCB2A97AD7B9}"/>
    <cellStyle name="Milliers 3 2 2 2 3 3" xfId="610" xr:uid="{56A4130B-BB77-444D-A84B-D88A1185F0E1}"/>
    <cellStyle name="Milliers 3 2 2 2 4" xfId="317" xr:uid="{4CB55EFC-33BB-4B75-91A2-10E44A770C1C}"/>
    <cellStyle name="Milliers 3 2 2 2 4 2" xfId="731" xr:uid="{7457B5ED-F6F4-4BA4-9C41-F8F089DA5B99}"/>
    <cellStyle name="Milliers 3 2 2 2 5" xfId="524" xr:uid="{DABD0399-462B-422E-97CC-AD969499EDF6}"/>
    <cellStyle name="Milliers 3 2 2 3" xfId="94" xr:uid="{670DA611-00B2-4AEA-B20F-1FDE4505C3D7}"/>
    <cellStyle name="Milliers 3 2 2 3 2" xfId="219" xr:uid="{955EE547-48D5-49A3-BC4B-A59695DFAAA2}"/>
    <cellStyle name="Milliers 3 2 2 3 2 2" xfId="426" xr:uid="{9BCC125D-C006-45AC-B5BB-DB0E5B7917CE}"/>
    <cellStyle name="Milliers 3 2 2 3 2 2 2" xfId="840" xr:uid="{3C1F6E85-29CE-4BFE-B773-C42BC0FB9A0E}"/>
    <cellStyle name="Milliers 3 2 2 3 2 3" xfId="633" xr:uid="{C37CC564-D412-453E-B2FF-D4E1A65ED00F}"/>
    <cellStyle name="Milliers 3 2 2 3 3" xfId="301" xr:uid="{D9055EE6-BFE8-4E2E-9A9B-C6F10BCF8C56}"/>
    <cellStyle name="Milliers 3 2 2 3 3 2" xfId="715" xr:uid="{C8B4AA1E-17B0-4DBE-8B06-8172457FA958}"/>
    <cellStyle name="Milliers 3 2 2 3 4" xfId="508" xr:uid="{36617B56-BB5D-4755-82EF-62E06D6C22AF}"/>
    <cellStyle name="Milliers 3 2 2 4" xfId="69" xr:uid="{1C541275-6B4E-4A66-ABEF-BCC3A2B95450}"/>
    <cellStyle name="Milliers 3 2 2 4 2" xfId="278" xr:uid="{4790794C-D264-43CE-85F3-0F3FB40E414D}"/>
    <cellStyle name="Milliers 3 2 2 4 2 2" xfId="692" xr:uid="{D00660D6-1624-4394-ABAA-DCED1F2F17F1}"/>
    <cellStyle name="Milliers 3 2 2 4 3" xfId="485" xr:uid="{1A630328-3FE3-43F9-A1EA-40BA3A93973E}"/>
    <cellStyle name="Milliers 3 2 2 5" xfId="127" xr:uid="{25924D7F-EEA8-4B5F-9B7C-0FD30D5946E8}"/>
    <cellStyle name="Milliers 3 2 2 5 2" xfId="334" xr:uid="{7DD3EC83-9E1E-42AE-87C2-094959593174}"/>
    <cellStyle name="Milliers 3 2 2 5 2 2" xfId="748" xr:uid="{95E575F6-C2CC-454F-A841-C3771A36AEDB}"/>
    <cellStyle name="Milliers 3 2 2 5 3" xfId="541" xr:uid="{A7552F54-1B61-44BF-95D1-7C4C0B8EFAF6}"/>
    <cellStyle name="Milliers 3 2 2 6" xfId="173" xr:uid="{3B3CA560-43F5-4E86-B6DE-DF672B8D597A}"/>
    <cellStyle name="Milliers 3 2 2 6 2" xfId="380" xr:uid="{91A63AC7-2B88-4BF8-AA1A-E888D1CB716B}"/>
    <cellStyle name="Milliers 3 2 2 6 2 2" xfId="794" xr:uid="{01067CC8-C06B-4C02-B503-D68284284BF7}"/>
    <cellStyle name="Milliers 3 2 2 6 3" xfId="587" xr:uid="{E421894E-9805-4DD7-8775-CDA3F270B239}"/>
    <cellStyle name="Milliers 3 2 2 7" xfId="251" xr:uid="{CCBD349B-F1F3-46B9-BC94-F53B742A9F77}"/>
    <cellStyle name="Milliers 3 2 2 7 2" xfId="665" xr:uid="{46850B23-9C72-4657-A362-0A2DBCCC9E2F}"/>
    <cellStyle name="Milliers 3 2 2 8" xfId="458" xr:uid="{82084113-E958-4D48-9760-EB452F9F0C10}"/>
    <cellStyle name="Milliers 3 2 3" xfId="46" xr:uid="{7FD179E9-B9F1-475E-A605-BBF686D508CB}"/>
    <cellStyle name="Milliers 3 2 3 2" xfId="102" xr:uid="{F40E61B1-C952-4896-850A-56CBD041D95B}"/>
    <cellStyle name="Milliers 3 2 3 2 2" xfId="156" xr:uid="{616A4234-C23A-4EAE-A641-59853BE6F0CD}"/>
    <cellStyle name="Milliers 3 2 3 2 2 2" xfId="363" xr:uid="{73EA284C-EF42-4366-9220-C61AC096FE57}"/>
    <cellStyle name="Milliers 3 2 3 2 2 2 2" xfId="777" xr:uid="{E2FB437C-1E1B-4D17-BC51-160E57F99A75}"/>
    <cellStyle name="Milliers 3 2 3 2 2 3" xfId="570" xr:uid="{7A172300-5FD8-4E26-A2C2-0EA9EFC73A93}"/>
    <cellStyle name="Milliers 3 2 3 2 3" xfId="202" xr:uid="{64C40F36-0BC3-4408-8457-1D049729C75C}"/>
    <cellStyle name="Milliers 3 2 3 2 3 2" xfId="409" xr:uid="{6CBB3ED6-629F-4BCC-A8B3-EF50F153E236}"/>
    <cellStyle name="Milliers 3 2 3 2 3 2 2" xfId="823" xr:uid="{2AAF4B2E-829B-491A-B80C-8514278888E2}"/>
    <cellStyle name="Milliers 3 2 3 2 3 3" xfId="616" xr:uid="{7A10D40A-0E65-4100-9B72-AE23A7A0A8D2}"/>
    <cellStyle name="Milliers 3 2 3 2 4" xfId="309" xr:uid="{46FE8BC5-731C-47FC-A98F-22899C4C8A8D}"/>
    <cellStyle name="Milliers 3 2 3 2 4 2" xfId="723" xr:uid="{8413A4F4-0D03-4DC0-967C-5F0534FA02FD}"/>
    <cellStyle name="Milliers 3 2 3 2 5" xfId="516" xr:uid="{0F24E12C-C790-47F7-83C5-9011E117912A}"/>
    <cellStyle name="Milliers 3 2 3 3" xfId="133" xr:uid="{B801318B-F6EA-4270-A9ED-9CB036DE59DE}"/>
    <cellStyle name="Milliers 3 2 3 3 2" xfId="225" xr:uid="{A888B5B2-A7ED-463D-90AB-FFBBAD5371BF}"/>
    <cellStyle name="Milliers 3 2 3 3 2 2" xfId="432" xr:uid="{5D73FF70-E259-4C28-AAEC-9BDACF2FF13E}"/>
    <cellStyle name="Milliers 3 2 3 3 2 2 2" xfId="846" xr:uid="{0B25AA6A-BC4D-4BD5-8DD5-456C63C5F7AB}"/>
    <cellStyle name="Milliers 3 2 3 3 2 3" xfId="639" xr:uid="{19AFE9C4-E402-4896-AD66-DF0466D83B94}"/>
    <cellStyle name="Milliers 3 2 3 3 3" xfId="340" xr:uid="{B7CDB1A9-821C-4378-BA38-0DBD745FB41E}"/>
    <cellStyle name="Milliers 3 2 3 3 3 2" xfId="754" xr:uid="{A1824041-9FAE-47D2-B09F-8C605D0B26D2}"/>
    <cellStyle name="Milliers 3 2 3 3 4" xfId="547" xr:uid="{67408389-D180-4927-B6A5-BDE2A8C033D1}"/>
    <cellStyle name="Milliers 3 2 3 4" xfId="179" xr:uid="{6C1388BD-10E9-407C-96EA-B05A6BE97A10}"/>
    <cellStyle name="Milliers 3 2 3 4 2" xfId="386" xr:uid="{F90A1DA9-71EF-4280-BF93-8800A09C990E}"/>
    <cellStyle name="Milliers 3 2 3 4 2 2" xfId="800" xr:uid="{78500F14-0E09-4B26-AA30-046B4E7D5AE9}"/>
    <cellStyle name="Milliers 3 2 3 4 3" xfId="593" xr:uid="{9FC2635C-3353-4216-B2E0-C9A72DB28CE3}"/>
    <cellStyle name="Milliers 3 2 3 5" xfId="257" xr:uid="{525F5796-F7D7-4744-8349-16883EA7A9D8}"/>
    <cellStyle name="Milliers 3 2 3 5 2" xfId="671" xr:uid="{358281E1-6927-452D-8C7A-B3030EFA1E40}"/>
    <cellStyle name="Milliers 3 2 3 6" xfId="464" xr:uid="{3AC423D4-D9B5-48BF-8A83-B52CE7BB3597}"/>
    <cellStyle name="Milliers 3 2 4" xfId="25" xr:uid="{BA536DC5-107B-42A0-9D5E-CB5068AB3CAD}"/>
    <cellStyle name="Milliers 3 2 4 2" xfId="86" xr:uid="{1C6CDC09-13CB-4CDB-9549-9D02357FBC0F}"/>
    <cellStyle name="Milliers 3 2 4 2 2" xfId="293" xr:uid="{211B9590-C35A-4A21-97D9-C546C8BA9EAD}"/>
    <cellStyle name="Milliers 3 2 4 2 2 2" xfId="707" xr:uid="{C5EE9684-9B07-4A5F-B538-204EA1F2C117}"/>
    <cellStyle name="Milliers 3 2 4 2 3" xfId="500" xr:uid="{0A218E04-AD27-41DE-833C-98820A944070}"/>
    <cellStyle name="Milliers 3 2 4 3" xfId="140" xr:uid="{F390D658-73FF-4B0A-ADBC-5A6AAE580EAB}"/>
    <cellStyle name="Milliers 3 2 4 3 2" xfId="347" xr:uid="{117CF28C-82AA-4FF7-86BE-D23C52460E1B}"/>
    <cellStyle name="Milliers 3 2 4 3 2 2" xfId="761" xr:uid="{30600F25-A950-4B59-8D02-6824519AE508}"/>
    <cellStyle name="Milliers 3 2 4 3 3" xfId="554" xr:uid="{2EB2FFA9-B284-4631-AA63-FDB3972AE3F2}"/>
    <cellStyle name="Milliers 3 2 4 4" xfId="186" xr:uid="{E49E8B5E-038D-4B0B-9ACA-376F17CA818F}"/>
    <cellStyle name="Milliers 3 2 4 4 2" xfId="393" xr:uid="{5A912D94-859A-4640-8D3F-20E5058E8F83}"/>
    <cellStyle name="Milliers 3 2 4 4 2 2" xfId="807" xr:uid="{87519F83-CE70-4222-8E14-FDB6E607FFF6}"/>
    <cellStyle name="Milliers 3 2 4 4 3" xfId="600" xr:uid="{A7B7ED9B-D3B6-4A5A-B9A5-2655E82CD417}"/>
    <cellStyle name="Milliers 3 2 4 5" xfId="241" xr:uid="{159A3E72-62EC-4156-9D76-3DCE1231C1F0}"/>
    <cellStyle name="Milliers 3 2 4 5 2" xfId="655" xr:uid="{50A8F381-4601-4CD3-A23F-2B0F7D0C1BB3}"/>
    <cellStyle name="Milliers 3 2 4 6" xfId="448" xr:uid="{60C6C429-D5EC-4054-8192-02B419A0D36A}"/>
    <cellStyle name="Milliers 3 2 5" xfId="53" xr:uid="{127E9B45-C38C-43F5-A2AE-246A5DD30902}"/>
    <cellStyle name="Milliers 3 2 5 2" xfId="209" xr:uid="{93B0C689-7EA9-4FA7-AEC9-E2EFC57B0D25}"/>
    <cellStyle name="Milliers 3 2 5 2 2" xfId="416" xr:uid="{855CE076-448B-48BB-B483-C75984867E20}"/>
    <cellStyle name="Milliers 3 2 5 2 2 2" xfId="830" xr:uid="{B1E63B02-DE4C-4581-830E-BDB289F9E5D8}"/>
    <cellStyle name="Milliers 3 2 5 2 3" xfId="623" xr:uid="{8198DE46-2CF6-4BE0-8A1A-059A5C1A5693}"/>
    <cellStyle name="Milliers 3 2 5 3" xfId="264" xr:uid="{405E014F-B536-4154-B11A-AE59FC22A945}"/>
    <cellStyle name="Milliers 3 2 5 3 2" xfId="678" xr:uid="{D8802D08-C437-4D96-B264-EA96C537B44B}"/>
    <cellStyle name="Milliers 3 2 5 4" xfId="471" xr:uid="{27D2C450-0C0F-42B6-BC37-32036C613D91}"/>
    <cellStyle name="Milliers 3 2 6" xfId="117" xr:uid="{715E079A-CE23-44C7-A40F-02AABFF6C76F}"/>
    <cellStyle name="Milliers 3 2 6 2" xfId="324" xr:uid="{600B0DE4-D9EC-4F6E-A70E-80FB399A026F}"/>
    <cellStyle name="Milliers 3 2 6 2 2" xfId="738" xr:uid="{1E4D4D79-C7D8-4FF8-AAB4-655307E46867}"/>
    <cellStyle name="Milliers 3 2 6 3" xfId="531" xr:uid="{CB76B259-61D6-4DF2-BC4D-8FC97DD2AC11}"/>
    <cellStyle name="Milliers 3 2 7" xfId="163" xr:uid="{85E7B60A-5C51-417A-B5E6-43E613E189F0}"/>
    <cellStyle name="Milliers 3 2 7 2" xfId="370" xr:uid="{63A0D485-FA5A-4E57-925C-C86A3DADB3D6}"/>
    <cellStyle name="Milliers 3 2 7 2 2" xfId="784" xr:uid="{6C9A5F36-8391-4368-B4D0-4D2CAF8527BF}"/>
    <cellStyle name="Milliers 3 2 7 3" xfId="577" xr:uid="{F081D1E9-3B88-4775-B767-8AACF40FAA0B}"/>
    <cellStyle name="Milliers 3 2 8" xfId="234" xr:uid="{4880AB62-A992-4C5B-BDE5-D3AED3BA8846}"/>
    <cellStyle name="Milliers 3 2 8 2" xfId="648" xr:uid="{DC0B8A14-C7FF-4A30-AA48-EA3E5CDE2A8C}"/>
    <cellStyle name="Milliers 3 2 9" xfId="441" xr:uid="{95BC45E5-0F0E-46B5-A42D-2CB2E433DA0F}"/>
    <cellStyle name="Milliers 3 3" xfId="29" xr:uid="{094E25A8-5438-405C-B1A4-18396FF7D684}"/>
    <cellStyle name="Milliers 3 3 2" xfId="73" xr:uid="{3256AD8A-13F7-4296-B310-00768AADB77C}"/>
    <cellStyle name="Milliers 3 3 2 2" xfId="106" xr:uid="{CF6A171C-C1C9-4B59-BB2B-54F6EB753A0F}"/>
    <cellStyle name="Milliers 3 3 2 2 2" xfId="313" xr:uid="{B8D2B5E4-E410-47A3-BE90-53A5475336D0}"/>
    <cellStyle name="Milliers 3 3 2 2 2 2" xfId="727" xr:uid="{BFF59E94-673F-4A5C-9A04-02E88172864E}"/>
    <cellStyle name="Milliers 3 3 2 2 3" xfId="520" xr:uid="{727ECEAC-8CE8-4AA2-8A23-EA7D10ED880E}"/>
    <cellStyle name="Milliers 3 3 2 3" xfId="143" xr:uid="{1E63753E-F2E4-4C43-80F6-2E5D1E9ECD37}"/>
    <cellStyle name="Milliers 3 3 2 3 2" xfId="350" xr:uid="{ABAA4D38-C8DE-41FF-B58F-6B50B4D48499}"/>
    <cellStyle name="Milliers 3 3 2 3 2 2" xfId="764" xr:uid="{53232C4D-363A-47DD-AC99-47058403780E}"/>
    <cellStyle name="Milliers 3 3 2 3 3" xfId="557" xr:uid="{D8C32C27-3277-4019-AAF1-5B4D074D519F}"/>
    <cellStyle name="Milliers 3 3 2 4" xfId="189" xr:uid="{B5D22192-8D29-4D4B-BCAF-198EC5C0BD3E}"/>
    <cellStyle name="Milliers 3 3 2 4 2" xfId="396" xr:uid="{491384D4-A019-4742-A6A0-DE9B2FA26889}"/>
    <cellStyle name="Milliers 3 3 2 4 2 2" xfId="810" xr:uid="{B9819BE8-7605-4AE3-8630-ED927BEB845F}"/>
    <cellStyle name="Milliers 3 3 2 4 3" xfId="603" xr:uid="{69DC7374-314F-48E0-9678-83A7E880D061}"/>
    <cellStyle name="Milliers 3 3 2 5" xfId="281" xr:uid="{1D4E08B9-F3EE-4953-A3AD-47174805EE61}"/>
    <cellStyle name="Milliers 3 3 2 5 2" xfId="695" xr:uid="{FA226CD9-B4AF-4EEB-86AF-7B1E8E2DA416}"/>
    <cellStyle name="Milliers 3 3 2 6" xfId="488" xr:uid="{F36BE407-2063-4556-8C4F-0617EC6458F9}"/>
    <cellStyle name="Milliers 3 3 3" xfId="90" xr:uid="{8FD4BB7A-CD31-4B72-99D4-B51D614B472E}"/>
    <cellStyle name="Milliers 3 3 3 2" xfId="212" xr:uid="{2FE5D46B-5C00-42A7-97D1-81B5E672A8E7}"/>
    <cellStyle name="Milliers 3 3 3 2 2" xfId="419" xr:uid="{665699FF-3219-4D2C-8B0F-1071E1383DF1}"/>
    <cellStyle name="Milliers 3 3 3 2 2 2" xfId="833" xr:uid="{39817238-21D4-4A14-8D5B-D3B82792FAF7}"/>
    <cellStyle name="Milliers 3 3 3 2 3" xfId="626" xr:uid="{C8DB801F-CBFB-4C00-AF7C-5F1557013E86}"/>
    <cellStyle name="Milliers 3 3 3 3" xfId="297" xr:uid="{E88580FA-8329-47E2-A85E-FE2E17B66FC2}"/>
    <cellStyle name="Milliers 3 3 3 3 2" xfId="711" xr:uid="{F84EFAFF-6469-4DEF-B43F-F62C06714314}"/>
    <cellStyle name="Milliers 3 3 3 4" xfId="504" xr:uid="{461AA7F5-6F98-425C-B31A-88ACB1E65265}"/>
    <cellStyle name="Milliers 3 3 4" xfId="56" xr:uid="{3C75915F-C565-48D7-96A6-87DD7249C993}"/>
    <cellStyle name="Milliers 3 3 4 2" xfId="267" xr:uid="{8DC848A6-AA44-4F3B-8EB3-1CC89FF761C9}"/>
    <cellStyle name="Milliers 3 3 4 2 2" xfId="681" xr:uid="{5F3D9DA7-A86F-4226-AC2F-A94199C80789}"/>
    <cellStyle name="Milliers 3 3 4 3" xfId="474" xr:uid="{7423B031-7F21-4FE8-B9EC-E39B63D30E33}"/>
    <cellStyle name="Milliers 3 3 5" xfId="120" xr:uid="{35196C70-EC49-4E26-A5CC-4AF88DCDBABA}"/>
    <cellStyle name="Milliers 3 3 5 2" xfId="327" xr:uid="{9A715D59-F728-43EF-98C9-903B86A4E465}"/>
    <cellStyle name="Milliers 3 3 5 2 2" xfId="741" xr:uid="{12D2E0AA-73E6-4957-8208-4438F943021C}"/>
    <cellStyle name="Milliers 3 3 5 3" xfId="534" xr:uid="{738FC6A3-8947-442F-BB47-201836F721CC}"/>
    <cellStyle name="Milliers 3 3 6" xfId="166" xr:uid="{8A708441-6E27-4CB9-A731-6E28E78C3AEC}"/>
    <cellStyle name="Milliers 3 3 6 2" xfId="373" xr:uid="{BCBC6666-BE62-425C-852E-BBD232354370}"/>
    <cellStyle name="Milliers 3 3 6 2 2" xfId="787" xr:uid="{51EE1870-6F23-4E63-B4FA-068C6B215042}"/>
    <cellStyle name="Milliers 3 3 6 3" xfId="580" xr:uid="{A10C4EF4-BD0B-47CD-8024-FA8E84ECEED5}"/>
    <cellStyle name="Milliers 3 3 7" xfId="244" xr:uid="{F52C0A4C-8442-455D-93F7-7004E8C13CCB}"/>
    <cellStyle name="Milliers 3 3 7 2" xfId="658" xr:uid="{1C98E7C1-664F-4A97-B54A-671D61776747}"/>
    <cellStyle name="Milliers 3 3 8" xfId="451" xr:uid="{A16BE7BC-EEBD-4D29-B0D7-8EB1F6231565}"/>
    <cellStyle name="Milliers 3 4" xfId="34" xr:uid="{47C52785-492D-45DE-9EC0-AD535698286D}"/>
    <cellStyle name="Milliers 3 4 2" xfId="98" xr:uid="{6EFCB155-3D86-4D7B-96D1-3B897D90323B}"/>
    <cellStyle name="Milliers 3 4 2 2" xfId="147" xr:uid="{CEDFABBE-4398-44CC-AC3E-50AFFE9EA8F0}"/>
    <cellStyle name="Milliers 3 4 2 2 2" xfId="354" xr:uid="{ED9AD125-8CED-4137-AE37-FC509C7E7AE6}"/>
    <cellStyle name="Milliers 3 4 2 2 2 2" xfId="768" xr:uid="{065E1D7E-D54C-4D9D-9D56-0F1F7E32C94E}"/>
    <cellStyle name="Milliers 3 4 2 2 3" xfId="561" xr:uid="{22AC534F-DE1A-4DD0-AC9C-81E737CE46D1}"/>
    <cellStyle name="Milliers 3 4 2 3" xfId="193" xr:uid="{867CAD8A-3A38-448A-A7A0-447A178EEB2F}"/>
    <cellStyle name="Milliers 3 4 2 3 2" xfId="400" xr:uid="{B79A5E23-5C25-4290-8546-6619BD3B8230}"/>
    <cellStyle name="Milliers 3 4 2 3 2 2" xfId="814" xr:uid="{A534A128-EFE3-4876-9E14-C3310B96745D}"/>
    <cellStyle name="Milliers 3 4 2 3 3" xfId="607" xr:uid="{5B00FC67-EB02-4ECB-B3CE-A0328EC8539F}"/>
    <cellStyle name="Milliers 3 4 2 4" xfId="305" xr:uid="{8E44BEAD-933A-4FC3-B10C-2D650E6B9BCB}"/>
    <cellStyle name="Milliers 3 4 2 4 2" xfId="719" xr:uid="{99CED2D7-F8C5-43B1-B21E-80E678713520}"/>
    <cellStyle name="Milliers 3 4 2 5" xfId="512" xr:uid="{E72DB02A-F590-419F-B411-FD23A5FEECF3}"/>
    <cellStyle name="Milliers 3 4 3" xfId="60" xr:uid="{88F0B3AA-14DE-4D69-BFBA-D2803B929F99}"/>
    <cellStyle name="Milliers 3 4 3 2" xfId="216" xr:uid="{E1B08246-F14E-4779-993A-908B5CEC60C1}"/>
    <cellStyle name="Milliers 3 4 3 2 2" xfId="423" xr:uid="{57FE081C-F972-4F04-8C58-EE44D53E32DE}"/>
    <cellStyle name="Milliers 3 4 3 2 2 2" xfId="837" xr:uid="{97AB0807-D53D-4A69-9583-77EDFB307E56}"/>
    <cellStyle name="Milliers 3 4 3 2 3" xfId="630" xr:uid="{FDFDA5BF-9700-4C24-82EC-D78FCA4A2677}"/>
    <cellStyle name="Milliers 3 4 3 3" xfId="271" xr:uid="{C2243526-144A-4727-B7F1-B8C0CCB4D649}"/>
    <cellStyle name="Milliers 3 4 3 3 2" xfId="685" xr:uid="{EF8ED56F-B2A9-4693-A4DC-B2EC638A494A}"/>
    <cellStyle name="Milliers 3 4 3 4" xfId="478" xr:uid="{AA8412A7-8B95-48EF-A636-75F1ABA94F82}"/>
    <cellStyle name="Milliers 3 4 4" xfId="124" xr:uid="{0A6BF3C6-51C4-437E-AC28-14F53D99018D}"/>
    <cellStyle name="Milliers 3 4 4 2" xfId="331" xr:uid="{D8DBE5FD-347B-48FF-97C1-3D465003A48C}"/>
    <cellStyle name="Milliers 3 4 4 2 2" xfId="745" xr:uid="{5F31E9C4-90DE-4FCE-9DD2-D8E0D244DF3A}"/>
    <cellStyle name="Milliers 3 4 4 3" xfId="538" xr:uid="{DBB73ED8-670B-4FCE-BB48-4832EAA4A05A}"/>
    <cellStyle name="Milliers 3 4 5" xfId="170" xr:uid="{A6098DC9-C9A5-44C4-B133-A28364C7E4D2}"/>
    <cellStyle name="Milliers 3 4 5 2" xfId="377" xr:uid="{BE09EBB6-8007-4F3F-BF52-C2ECDF51BBDC}"/>
    <cellStyle name="Milliers 3 4 5 2 2" xfId="791" xr:uid="{97E0B50E-8693-47DB-8CB0-E12E8FB1D9B6}"/>
    <cellStyle name="Milliers 3 4 5 3" xfId="584" xr:uid="{F3588859-5E5E-4DBD-BEF2-7DE50491A017}"/>
    <cellStyle name="Milliers 3 4 6" xfId="248" xr:uid="{6BE8D255-1CF4-4BCF-B80E-C3160FAEEACF}"/>
    <cellStyle name="Milliers 3 4 6 2" xfId="662" xr:uid="{1C4E3AC4-E0F4-49D2-9108-34088CC4C4E3}"/>
    <cellStyle name="Milliers 3 4 7" xfId="455" xr:uid="{3A46F4FC-9176-46E8-A729-689331D0D9AC}"/>
    <cellStyle name="Milliers 3 5" xfId="42" xr:uid="{9EADC4B9-0501-4117-8412-A40E62F8A634}"/>
    <cellStyle name="Milliers 3 5 2" xfId="65" xr:uid="{2AE9F053-8C86-48B4-8FEF-70B897B257CA}"/>
    <cellStyle name="Milliers 3 5 2 2" xfId="153" xr:uid="{28897AB6-9740-4752-84E1-9AC50882B7F6}"/>
    <cellStyle name="Milliers 3 5 2 2 2" xfId="360" xr:uid="{8CA66404-43AC-4D81-914A-A1EE8452A8F9}"/>
    <cellStyle name="Milliers 3 5 2 2 2 2" xfId="774" xr:uid="{056F42BA-E692-4680-8FFE-7FDEFD4EBA2A}"/>
    <cellStyle name="Milliers 3 5 2 2 3" xfId="567" xr:uid="{F66B76DF-36FA-4E98-87F9-5B539F1601F7}"/>
    <cellStyle name="Milliers 3 5 2 3" xfId="199" xr:uid="{2E77277E-8661-4DB1-A9F3-8A2F9F2BBEFD}"/>
    <cellStyle name="Milliers 3 5 2 3 2" xfId="406" xr:uid="{4F85D498-55EB-46F8-BB28-43624061306F}"/>
    <cellStyle name="Milliers 3 5 2 3 2 2" xfId="820" xr:uid="{E1B5EAC2-F610-4405-B0DA-0AA6AAB18A3A}"/>
    <cellStyle name="Milliers 3 5 2 3 3" xfId="613" xr:uid="{01E4931E-3F65-4196-A5F4-F5743CFDE25C}"/>
    <cellStyle name="Milliers 3 5 2 4" xfId="275" xr:uid="{8B887E43-C8B8-4F6C-BC03-11013169F3D0}"/>
    <cellStyle name="Milliers 3 5 2 4 2" xfId="689" xr:uid="{FEC7338E-E75D-4AF1-B691-2E122896CEB2}"/>
    <cellStyle name="Milliers 3 5 2 5" xfId="482" xr:uid="{5A75BAC9-C6CD-4B74-BB59-C100FA6BBE3A}"/>
    <cellStyle name="Milliers 3 5 3" xfId="130" xr:uid="{EE3AD767-D3EE-4333-B231-4E8FBB11828A}"/>
    <cellStyle name="Milliers 3 5 3 2" xfId="222" xr:uid="{3725DF83-E3E4-4E22-AD42-2F28EC1CAB26}"/>
    <cellStyle name="Milliers 3 5 3 2 2" xfId="429" xr:uid="{EA808D0F-A96E-4BFA-A420-958DD0DA04F6}"/>
    <cellStyle name="Milliers 3 5 3 2 2 2" xfId="843" xr:uid="{6CAF94C1-35E3-48DD-AA76-340DD862CC59}"/>
    <cellStyle name="Milliers 3 5 3 2 3" xfId="636" xr:uid="{9103A35F-2C60-4AB7-B815-BCF3FD155707}"/>
    <cellStyle name="Milliers 3 5 3 3" xfId="337" xr:uid="{6F62AF4B-4940-4ECD-A1E8-F6793D19BCAA}"/>
    <cellStyle name="Milliers 3 5 3 3 2" xfId="751" xr:uid="{5C7BB25C-C881-4E7B-9B02-EC5B99D05185}"/>
    <cellStyle name="Milliers 3 5 3 4" xfId="544" xr:uid="{4492E768-D56C-4580-A771-8B21188EE70B}"/>
    <cellStyle name="Milliers 3 5 4" xfId="176" xr:uid="{E7803D4E-30E3-498A-A82E-638261B767C1}"/>
    <cellStyle name="Milliers 3 5 4 2" xfId="383" xr:uid="{65866102-0C4E-4C4F-82F8-3B518E714452}"/>
    <cellStyle name="Milliers 3 5 4 2 2" xfId="797" xr:uid="{C8EA7950-7E2F-43A6-A8A4-10F557589B21}"/>
    <cellStyle name="Milliers 3 5 4 3" xfId="590" xr:uid="{769382DA-2C2A-491E-8B83-A14BB2F54901}"/>
    <cellStyle name="Milliers 3 5 5" xfId="254" xr:uid="{020021F6-18DE-42C3-9B31-1235FCBD0E53}"/>
    <cellStyle name="Milliers 3 5 5 2" xfId="668" xr:uid="{AFBACEEB-B26E-4D1C-A851-02C5D0603DEE}"/>
    <cellStyle name="Milliers 3 5 6" xfId="461" xr:uid="{75B5F628-DBE6-4DA9-BF5D-C5D56B39D132}"/>
    <cellStyle name="Milliers 3 6" xfId="21" xr:uid="{B9C346C7-0ACB-4EF2-AB7C-1DA32BEF0737}"/>
    <cellStyle name="Milliers 3 6 2" xfId="78" xr:uid="{0CDD661B-3AED-455D-A3CF-E5F82E90097E}"/>
    <cellStyle name="Milliers 3 6 2 2" xfId="285" xr:uid="{539AF923-EF15-4060-B049-CE5958E7F0F9}"/>
    <cellStyle name="Milliers 3 6 2 2 2" xfId="699" xr:uid="{F59239F8-F3DF-43CE-95EE-CA0F0F58B703}"/>
    <cellStyle name="Milliers 3 6 2 3" xfId="492" xr:uid="{15CFAA42-FB7A-4186-841B-97C1D2137E7C}"/>
    <cellStyle name="Milliers 3 6 3" xfId="137" xr:uid="{3B4616B9-3FD9-4969-8E82-7D72600623BB}"/>
    <cellStyle name="Milliers 3 6 3 2" xfId="344" xr:uid="{DD90A75D-17E7-4361-8C22-A510C14C4B21}"/>
    <cellStyle name="Milliers 3 6 3 2 2" xfId="758" xr:uid="{4D6B3D58-BE1E-4DE0-B7C2-C6B1047A538A}"/>
    <cellStyle name="Milliers 3 6 3 3" xfId="551" xr:uid="{E891B5B4-5194-410D-9F54-A4FD99BB6A9A}"/>
    <cellStyle name="Milliers 3 6 4" xfId="183" xr:uid="{E1E82144-F835-4261-994B-7DD49312B889}"/>
    <cellStyle name="Milliers 3 6 4 2" xfId="390" xr:uid="{DB94252B-49DF-44E1-93C0-F8F772309778}"/>
    <cellStyle name="Milliers 3 6 4 2 2" xfId="804" xr:uid="{D2852D1A-B441-4130-B416-A623D729A249}"/>
    <cellStyle name="Milliers 3 6 4 3" xfId="597" xr:uid="{67BA9C44-F908-4012-B78C-3109AEAB34C8}"/>
    <cellStyle name="Milliers 3 6 5" xfId="238" xr:uid="{6D274CED-C29F-47D4-AA6B-1A95C7DE0B57}"/>
    <cellStyle name="Milliers 3 6 5 2" xfId="652" xr:uid="{81AC9235-9797-4A5D-990A-3058026F30C1}"/>
    <cellStyle name="Milliers 3 6 6" xfId="445" xr:uid="{7EB57689-1EF6-4B9D-9B5A-A3ED03D8E604}"/>
    <cellStyle name="Milliers 3 7" xfId="82" xr:uid="{DB839316-5CEA-45C3-9D9A-070C815454E6}"/>
    <cellStyle name="Milliers 3 7 2" xfId="206" xr:uid="{53D55F8D-F640-4849-996F-66CF61D8B03F}"/>
    <cellStyle name="Milliers 3 7 2 2" xfId="413" xr:uid="{7870305A-493A-44A5-94DF-1812CF5B152C}"/>
    <cellStyle name="Milliers 3 7 2 2 2" xfId="827" xr:uid="{4FBB93D2-20D0-4F64-B274-13B3B191787E}"/>
    <cellStyle name="Milliers 3 7 2 3" xfId="620" xr:uid="{B1E05F7C-8E9E-43E1-8C40-6558EA5357FD}"/>
    <cellStyle name="Milliers 3 7 3" xfId="289" xr:uid="{B2FD7245-2313-4054-865B-F9F2F09BB9F4}"/>
    <cellStyle name="Milliers 3 7 3 2" xfId="703" xr:uid="{0CCAB85D-6D77-4143-B553-F84D5D7D0BA3}"/>
    <cellStyle name="Milliers 3 7 4" xfId="496" xr:uid="{805D4748-CC1E-4751-ADD8-8705AF26F623}"/>
    <cellStyle name="Milliers 3 8" xfId="50" xr:uid="{FAEC2E36-D48B-4D01-800F-7AFFBFA93D39}"/>
    <cellStyle name="Milliers 3 8 2" xfId="261" xr:uid="{9B0C3CD7-6631-4365-BD4F-BB1694614999}"/>
    <cellStyle name="Milliers 3 8 2 2" xfId="675" xr:uid="{2CA48C77-0FBC-4E59-B74B-80447DD1F4C5}"/>
    <cellStyle name="Milliers 3 8 3" xfId="468" xr:uid="{7898E771-0D37-4552-967E-2F8CD08AB0D7}"/>
    <cellStyle name="Milliers 3 9" xfId="114" xr:uid="{D3D69770-6DEA-4DA6-840F-766A957620C6}"/>
    <cellStyle name="Milliers 3 9 2" xfId="321" xr:uid="{7BCDA316-7EEB-4A92-A203-943B590DF738}"/>
    <cellStyle name="Milliers 3 9 2 2" xfId="735" xr:uid="{BD0E2889-117E-47EC-8E2E-EC9D8FB53B86}"/>
    <cellStyle name="Milliers 3 9 3" xfId="528" xr:uid="{78AB1D3C-8458-4AB6-95AF-C0225123CE99}"/>
    <cellStyle name="Milliers 4" xfId="19" xr:uid="{C5922779-C5F1-47A2-AB9C-716F74B4A959}"/>
    <cellStyle name="Milliers 4 2" xfId="30" xr:uid="{A5F37E74-796B-495C-ACEE-9551F41F0D47}"/>
    <cellStyle name="Milliers 4 2 2" xfId="74" xr:uid="{D409A232-7C53-4A5E-98BE-55BD0D2ED4A0}"/>
    <cellStyle name="Milliers 4 2 2 2" xfId="144" xr:uid="{78B0C9CC-3D2C-4CD2-AFE2-19733331ABD2}"/>
    <cellStyle name="Milliers 4 2 2 2 2" xfId="351" xr:uid="{1158B4EB-B938-4F98-B9B3-B340555796F0}"/>
    <cellStyle name="Milliers 4 2 2 2 2 2" xfId="765" xr:uid="{B69CE0AF-1EB1-4C43-A5E0-88F839E81515}"/>
    <cellStyle name="Milliers 4 2 2 2 3" xfId="558" xr:uid="{002DC4E8-CE73-4943-862C-461396FE565F}"/>
    <cellStyle name="Milliers 4 2 2 3" xfId="190" xr:uid="{79B93A74-BED4-4E52-8271-17C976DC622D}"/>
    <cellStyle name="Milliers 4 2 2 3 2" xfId="397" xr:uid="{F232E3EE-B489-4E45-8E19-7D8FD4F8B78E}"/>
    <cellStyle name="Milliers 4 2 2 3 2 2" xfId="811" xr:uid="{E3C53084-077F-49B1-A280-E720A67A03D8}"/>
    <cellStyle name="Milliers 4 2 2 3 3" xfId="604" xr:uid="{6CC5B547-3860-40BE-A6ED-ADF045AC15A5}"/>
    <cellStyle name="Milliers 4 2 2 4" xfId="282" xr:uid="{4D5E4D8E-3851-4049-915F-67EED82F8BDF}"/>
    <cellStyle name="Milliers 4 2 2 4 2" xfId="696" xr:uid="{70613D25-5667-4EA2-9D59-CD9E9FB6940D}"/>
    <cellStyle name="Milliers 4 2 2 5" xfId="489" xr:uid="{AF3A42D9-6A91-4046-8E97-4331835773EF}"/>
    <cellStyle name="Milliers 4 2 3" xfId="104" xr:uid="{9406AB5C-0480-4CB3-A51E-DCA469183636}"/>
    <cellStyle name="Milliers 4 2 3 2" xfId="213" xr:uid="{FB37080F-E8AB-4701-897E-FAC0800E3C6C}"/>
    <cellStyle name="Milliers 4 2 3 2 2" xfId="420" xr:uid="{42AACC83-A59C-4E45-AAB1-F1FBC0EC39DC}"/>
    <cellStyle name="Milliers 4 2 3 2 2 2" xfId="834" xr:uid="{B02B67C0-64A6-4754-A617-0FEF103FDD1F}"/>
    <cellStyle name="Milliers 4 2 3 2 3" xfId="627" xr:uid="{CD945FD3-4091-4FE2-9873-5C61D1BC6A22}"/>
    <cellStyle name="Milliers 4 2 3 3" xfId="311" xr:uid="{3E773B21-CC3D-492A-8195-ED2CF53ADEC8}"/>
    <cellStyle name="Milliers 4 2 3 3 2" xfId="725" xr:uid="{284AAD3B-CBB5-41A1-88BF-BB42FD52643B}"/>
    <cellStyle name="Milliers 4 2 3 4" xfId="518" xr:uid="{6A78815D-A323-4C59-BBE7-3CF72FD83978}"/>
    <cellStyle name="Milliers 4 2 4" xfId="57" xr:uid="{626AA4B7-292F-453F-8D46-D14D53086B73}"/>
    <cellStyle name="Milliers 4 2 4 2" xfId="268" xr:uid="{A5BEC173-C095-48F6-B861-E4D6A702B00E}"/>
    <cellStyle name="Milliers 4 2 4 2 2" xfId="682" xr:uid="{85F41D2B-E6E0-4D43-84DD-E9DB9ADA4B9B}"/>
    <cellStyle name="Milliers 4 2 4 3" xfId="475" xr:uid="{2EAF01C4-3E77-40D5-BB08-1E8DEAF14A2B}"/>
    <cellStyle name="Milliers 4 2 5" xfId="121" xr:uid="{31DA3ABB-F582-4E6A-95A1-641DDBDB30ED}"/>
    <cellStyle name="Milliers 4 2 5 2" xfId="328" xr:uid="{35A9B096-9794-480E-8312-2E4432B7D846}"/>
    <cellStyle name="Milliers 4 2 5 2 2" xfId="742" xr:uid="{43F379C6-B3F8-45E5-96CF-0122053B7780}"/>
    <cellStyle name="Milliers 4 2 5 3" xfId="535" xr:uid="{78E1E97A-1B26-4FC4-B184-A208676FE4AD}"/>
    <cellStyle name="Milliers 4 2 6" xfId="167" xr:uid="{CF9A35D6-2EAC-4E0A-B71E-2A3515105407}"/>
    <cellStyle name="Milliers 4 2 6 2" xfId="374" xr:uid="{33696BC2-B603-4FAE-9499-F2BD1145E7EA}"/>
    <cellStyle name="Milliers 4 2 6 2 2" xfId="788" xr:uid="{57540DDA-97D8-4A28-AEDC-AE6F1B685949}"/>
    <cellStyle name="Milliers 4 2 6 3" xfId="581" xr:uid="{C46DC390-3F6E-4262-B138-379E6DF38C43}"/>
    <cellStyle name="Milliers 4 2 7" xfId="245" xr:uid="{40B3E542-03AE-4BBB-80BF-75A09B5DC727}"/>
    <cellStyle name="Milliers 4 2 7 2" xfId="659" xr:uid="{76B1A8DF-54D4-46A8-B5A9-5EBB095F6B6F}"/>
    <cellStyle name="Milliers 4 2 8" xfId="452" xr:uid="{2EE95011-C5A4-44A7-8414-CBE3CC8D6FEF}"/>
    <cellStyle name="Milliers 4 3" xfId="35" xr:uid="{97B88D6D-1441-48EF-8887-15425F30356E}"/>
    <cellStyle name="Milliers 4 3 2" xfId="63" xr:uid="{26656DAD-DA65-4536-BD04-8B79E8205405}"/>
    <cellStyle name="Milliers 4 3 2 2" xfId="148" xr:uid="{FF865B7A-0516-4D52-B6CF-D73E275B379D}"/>
    <cellStyle name="Milliers 4 3 2 2 2" xfId="355" xr:uid="{56F92B94-332C-40B1-830E-F78BE8785477}"/>
    <cellStyle name="Milliers 4 3 2 2 2 2" xfId="769" xr:uid="{11F4D85C-5E91-4FA9-8D26-0F121BAA03F4}"/>
    <cellStyle name="Milliers 4 3 2 2 3" xfId="562" xr:uid="{82ADB1C9-C9A6-4165-80ED-BE556D9D4EDC}"/>
    <cellStyle name="Milliers 4 3 2 3" xfId="194" xr:uid="{00DF9D06-6304-46CC-9E3C-31ADAE0295DA}"/>
    <cellStyle name="Milliers 4 3 2 3 2" xfId="401" xr:uid="{17253E36-3E83-4983-BF93-9F8212AEF6BF}"/>
    <cellStyle name="Milliers 4 3 2 3 2 2" xfId="815" xr:uid="{7A8C58BD-9236-41B3-86F5-B1C182D81B38}"/>
    <cellStyle name="Milliers 4 3 2 3 3" xfId="608" xr:uid="{44A036A8-A84B-4362-9575-BE9CBFFC31FC}"/>
    <cellStyle name="Milliers 4 3 2 4" xfId="273" xr:uid="{9294D558-A4AE-4F6E-B80B-6A55379B7E2D}"/>
    <cellStyle name="Milliers 4 3 2 4 2" xfId="687" xr:uid="{774F6640-58EA-4986-B582-032F94DFE43D}"/>
    <cellStyle name="Milliers 4 3 2 5" xfId="480" xr:uid="{A1F8757F-E1FE-4965-B2D9-356A8C51878D}"/>
    <cellStyle name="Milliers 4 3 3" xfId="125" xr:uid="{A0D56700-F4B9-46BD-B952-0AA7E86AE99E}"/>
    <cellStyle name="Milliers 4 3 3 2" xfId="217" xr:uid="{66B07C01-76A6-404F-9EAF-9DD270B4DB1E}"/>
    <cellStyle name="Milliers 4 3 3 2 2" xfId="424" xr:uid="{86DBABBD-4B68-46DB-996D-DA5316B30A72}"/>
    <cellStyle name="Milliers 4 3 3 2 2 2" xfId="838" xr:uid="{AD1022EF-E490-4ADB-A579-A2AC90134E14}"/>
    <cellStyle name="Milliers 4 3 3 2 3" xfId="631" xr:uid="{75445753-C4F3-4AD1-8EC1-7F9B4B6AAAC5}"/>
    <cellStyle name="Milliers 4 3 3 3" xfId="332" xr:uid="{DA4B191C-ACE7-4E0F-B1AF-1C1EFC868C66}"/>
    <cellStyle name="Milliers 4 3 3 3 2" xfId="746" xr:uid="{5E163658-01A2-48EC-8A37-0C055E81C96A}"/>
    <cellStyle name="Milliers 4 3 3 4" xfId="539" xr:uid="{40BAC85F-AE03-4581-A127-880433BF324F}"/>
    <cellStyle name="Milliers 4 3 4" xfId="171" xr:uid="{0475C00F-07C5-4AF6-8CF0-47E7868471AD}"/>
    <cellStyle name="Milliers 4 3 4 2" xfId="378" xr:uid="{91CA7E12-5F59-4887-891A-22DF0FAB8370}"/>
    <cellStyle name="Milliers 4 3 4 2 2" xfId="792" xr:uid="{81084B36-FC09-4F43-BE44-61724AE5BFB4}"/>
    <cellStyle name="Milliers 4 3 4 3" xfId="585" xr:uid="{BEC7A981-7B9E-48F6-B970-BBABF5212C0F}"/>
    <cellStyle name="Milliers 4 3 5" xfId="249" xr:uid="{FB91410D-97EE-409C-8BA5-152C2FCCD203}"/>
    <cellStyle name="Milliers 4 3 5 2" xfId="663" xr:uid="{F5277B10-E060-4A1E-94F4-90BFC1033D95}"/>
    <cellStyle name="Milliers 4 3 6" xfId="456" xr:uid="{4628C89F-B64E-4FA2-BB3B-677F81730DAB}"/>
    <cellStyle name="Milliers 4 4" xfId="43" xr:uid="{E51EE2DC-D5B2-4596-B3B8-4836DA4649BE}"/>
    <cellStyle name="Milliers 4 4 2" xfId="88" xr:uid="{148F3D34-8015-426E-A3DD-1FE507286A7F}"/>
    <cellStyle name="Milliers 4 4 2 2" xfId="154" xr:uid="{C8EFB3E6-7815-4457-86B6-0FF249F1AD6A}"/>
    <cellStyle name="Milliers 4 4 2 2 2" xfId="361" xr:uid="{F8D3EBC0-354F-4995-B024-8C57244B722E}"/>
    <cellStyle name="Milliers 4 4 2 2 2 2" xfId="775" xr:uid="{4AE277E4-938D-4E10-BB0E-B69075BC1075}"/>
    <cellStyle name="Milliers 4 4 2 2 3" xfId="568" xr:uid="{360EB1FB-D5A6-4D8B-9F42-6AC513390305}"/>
    <cellStyle name="Milliers 4 4 2 3" xfId="200" xr:uid="{54B78C08-30DB-4EC9-97FC-B2D10766A5CC}"/>
    <cellStyle name="Milliers 4 4 2 3 2" xfId="407" xr:uid="{FEEC8E5E-56B9-4F75-9930-16A459D3CCDF}"/>
    <cellStyle name="Milliers 4 4 2 3 2 2" xfId="821" xr:uid="{88883DDE-4387-4535-9400-98329256D87A}"/>
    <cellStyle name="Milliers 4 4 2 3 3" xfId="614" xr:uid="{B38E8453-F544-4060-800E-1C074C088508}"/>
    <cellStyle name="Milliers 4 4 2 4" xfId="295" xr:uid="{8C0D5AB4-AF4F-4E09-B267-D09E7CBBA9DD}"/>
    <cellStyle name="Milliers 4 4 2 4 2" xfId="709" xr:uid="{BC710F65-0E49-40E8-AD63-3AE9B9B677CC}"/>
    <cellStyle name="Milliers 4 4 2 5" xfId="502" xr:uid="{05876574-9CC6-47A8-9A6B-8C91A6947BC6}"/>
    <cellStyle name="Milliers 4 4 3" xfId="131" xr:uid="{996C8D7E-2807-4A2C-B165-DACB064C3FB4}"/>
    <cellStyle name="Milliers 4 4 3 2" xfId="223" xr:uid="{2F23C90A-3A69-49DA-B16C-039FFAAB5EA5}"/>
    <cellStyle name="Milliers 4 4 3 2 2" xfId="430" xr:uid="{7621AAF9-623A-4974-B1BE-9BA0BF0DDDC3}"/>
    <cellStyle name="Milliers 4 4 3 2 2 2" xfId="844" xr:uid="{6987759B-E3E9-469E-94D7-62C38A861185}"/>
    <cellStyle name="Milliers 4 4 3 2 3" xfId="637" xr:uid="{ECB9B743-DDA3-486E-8E57-22AACD454368}"/>
    <cellStyle name="Milliers 4 4 3 3" xfId="338" xr:uid="{FE6A078A-703E-49EC-9C55-A5EC6D13E703}"/>
    <cellStyle name="Milliers 4 4 3 3 2" xfId="752" xr:uid="{09414118-A3E9-4163-BE93-1BD0BD8C50DA}"/>
    <cellStyle name="Milliers 4 4 3 4" xfId="545" xr:uid="{CBDA8B91-D99A-4572-BE1B-B9FEAD81F7E4}"/>
    <cellStyle name="Milliers 4 4 4" xfId="177" xr:uid="{84EAA422-B3F3-4AC4-BC0D-DCDC483541D2}"/>
    <cellStyle name="Milliers 4 4 4 2" xfId="384" xr:uid="{9F520C84-7879-4259-8C75-02C8D85F0459}"/>
    <cellStyle name="Milliers 4 4 4 2 2" xfId="798" xr:uid="{713C7D83-8930-4598-B1F2-0A652B24A6A4}"/>
    <cellStyle name="Milliers 4 4 4 3" xfId="591" xr:uid="{6D1CBFA1-9A70-422D-B7C1-ED58EDADB2FF}"/>
    <cellStyle name="Milliers 4 4 5" xfId="255" xr:uid="{43E87343-529A-473A-907E-3E7B8E1518D9}"/>
    <cellStyle name="Milliers 4 4 5 2" xfId="669" xr:uid="{3F1E8B9E-6322-4B94-A79A-DB0659CF94A5}"/>
    <cellStyle name="Milliers 4 4 6" xfId="462" xr:uid="{03D9A608-0FC8-4571-AC5E-D3E01E1A5CAE}"/>
    <cellStyle name="Milliers 4 5" xfId="48" xr:uid="{FE8C48BB-C681-48EF-A651-CCB27DDC27FE}"/>
    <cellStyle name="Milliers 4 5 2" xfId="135" xr:uid="{C93FFFCE-2746-4206-BB14-B2D4528156CC}"/>
    <cellStyle name="Milliers 4 5 2 2" xfId="342" xr:uid="{4B9D3ED5-F2FA-4A62-8BEC-48695563AA50}"/>
    <cellStyle name="Milliers 4 5 2 2 2" xfId="756" xr:uid="{BB771922-3773-4F85-9A92-8465EF64EE48}"/>
    <cellStyle name="Milliers 4 5 2 3" xfId="549" xr:uid="{5E88C4CF-84D0-4DC8-8893-D609736B2C2A}"/>
    <cellStyle name="Milliers 4 5 3" xfId="181" xr:uid="{272B4C15-1336-40F7-A1FB-DB6C2FE6FF1B}"/>
    <cellStyle name="Milliers 4 5 3 2" xfId="388" xr:uid="{4EBDE89D-690B-4A7A-ACE5-B109090FB89F}"/>
    <cellStyle name="Milliers 4 5 3 2 2" xfId="802" xr:uid="{978F57C8-73B5-4A3D-AAEF-DA2DB96766D0}"/>
    <cellStyle name="Milliers 4 5 3 3" xfId="595" xr:uid="{CEE6C621-542F-45D3-96DA-362D15FAB84C}"/>
    <cellStyle name="Milliers 4 5 4" xfId="259" xr:uid="{BADA6D32-12B5-4CE5-A25A-658210FD6E2E}"/>
    <cellStyle name="Milliers 4 5 4 2" xfId="673" xr:uid="{BACE0D70-DABB-42EB-A817-56CE712293E6}"/>
    <cellStyle name="Milliers 4 5 5" xfId="466" xr:uid="{4AFFABA3-E943-4922-813B-1F8DFDAE4B60}"/>
    <cellStyle name="Milliers 4 6" xfId="112" xr:uid="{5298E288-2BDB-4AA9-9470-AA66B8108DDA}"/>
    <cellStyle name="Milliers 4 6 2" xfId="204" xr:uid="{3E99026C-54AA-4B4B-86A5-4BAC33E5F514}"/>
    <cellStyle name="Milliers 4 6 2 2" xfId="411" xr:uid="{D5451BF9-FAE6-45B8-A213-F111198A729A}"/>
    <cellStyle name="Milliers 4 6 2 2 2" xfId="825" xr:uid="{E88AC273-D378-44FC-A4B7-9AA6DFE3CC79}"/>
    <cellStyle name="Milliers 4 6 2 3" xfId="618" xr:uid="{0AC1365C-DE1F-41DD-8625-9BFA57DFEA6F}"/>
    <cellStyle name="Milliers 4 6 3" xfId="319" xr:uid="{FBFEAE16-464C-4565-8A2B-F52E6EDFBEAC}"/>
    <cellStyle name="Milliers 4 6 3 2" xfId="733" xr:uid="{78C29755-9FF0-4AD9-A11B-55FBAE3DA725}"/>
    <cellStyle name="Milliers 4 6 4" xfId="526" xr:uid="{47E2DBC8-3277-4889-8E55-727F2E1675E3}"/>
    <cellStyle name="Milliers 4 7" xfId="158" xr:uid="{F5386AD6-5A6C-40BE-9842-401D28FA68AD}"/>
    <cellStyle name="Milliers 4 7 2" xfId="365" xr:uid="{45C9AEE5-EC25-478D-8127-00C26930FA9E}"/>
    <cellStyle name="Milliers 4 7 2 2" xfId="779" xr:uid="{6AC6B8F1-EC99-4E16-850D-DA58C1774FCF}"/>
    <cellStyle name="Milliers 4 7 3" xfId="572" xr:uid="{842348EF-2685-429B-B698-A8F910BD4601}"/>
    <cellStyle name="Milliers 4 8" xfId="236" xr:uid="{1BA03C09-C172-4F7F-B06F-82C4EE51D520}"/>
    <cellStyle name="Milliers 4 8 2" xfId="650" xr:uid="{75A4A906-B622-4610-A8AB-037996E564A8}"/>
    <cellStyle name="Milliers 4 9" xfId="443" xr:uid="{A7F9B014-F059-4BD3-912A-1F4432FAC546}"/>
    <cellStyle name="Milliers 5" xfId="27" xr:uid="{B5F408E8-A8BF-4959-BB2D-231ABF561BCD}"/>
    <cellStyle name="Milliers 5 2" xfId="47" xr:uid="{632E2962-3F5C-443A-B9C2-26D2D5A6A87A}"/>
    <cellStyle name="Milliers 5 2 2" xfId="71" xr:uid="{C9A9F195-380B-4EAA-B222-8D05C906C5C9}"/>
    <cellStyle name="Milliers 5 2 2 2" xfId="157" xr:uid="{427D9DD1-8A9A-4819-8B2D-635789AB7F0F}"/>
    <cellStyle name="Milliers 5 2 2 2 2" xfId="364" xr:uid="{54EBE43C-1818-4BD0-B116-2EED9F60EA56}"/>
    <cellStyle name="Milliers 5 2 2 2 2 2" xfId="778" xr:uid="{E97B1AE2-FD36-43D1-90E4-D4EA86DCD73B}"/>
    <cellStyle name="Milliers 5 2 2 2 3" xfId="571" xr:uid="{26824DBD-E7C7-4145-AF45-AF0123404D06}"/>
    <cellStyle name="Milliers 5 2 2 3" xfId="203" xr:uid="{DB696944-D7FE-4461-B660-1D2E4751A5E6}"/>
    <cellStyle name="Milliers 5 2 2 3 2" xfId="410" xr:uid="{789E834D-EBA9-480D-B88D-B2B57239C95A}"/>
    <cellStyle name="Milliers 5 2 2 3 2 2" xfId="824" xr:uid="{B497F68F-0DFA-46BB-A54B-0781D53EB1CD}"/>
    <cellStyle name="Milliers 5 2 2 3 3" xfId="617" xr:uid="{288CC20B-958E-4643-B0BA-CE68B4341D32}"/>
    <cellStyle name="Milliers 5 2 2 4" xfId="279" xr:uid="{960E4D4E-5575-48DA-A457-AFF180797EEB}"/>
    <cellStyle name="Milliers 5 2 2 4 2" xfId="693" xr:uid="{FF3C9D6F-BA47-4E5A-B3FD-F5B33F5AAF59}"/>
    <cellStyle name="Milliers 5 2 2 5" xfId="486" xr:uid="{69768B9F-9D7B-49F1-9790-3AB0C38F445D}"/>
    <cellStyle name="Milliers 5 2 3" xfId="134" xr:uid="{E00060BA-1573-439B-879A-66FAC5015AC2}"/>
    <cellStyle name="Milliers 5 2 3 2" xfId="226" xr:uid="{6184F0E3-074C-4FC4-8BFB-51AADD95DAF2}"/>
    <cellStyle name="Milliers 5 2 3 2 2" xfId="433" xr:uid="{E8D7EA24-029E-45D4-A2F6-CC0C112EC692}"/>
    <cellStyle name="Milliers 5 2 3 2 2 2" xfId="847" xr:uid="{713BE029-096A-47F7-8DD0-B0BB924FE0B0}"/>
    <cellStyle name="Milliers 5 2 3 2 3" xfId="640" xr:uid="{A32E61B8-7492-4D9E-9B48-29629858B5AB}"/>
    <cellStyle name="Milliers 5 2 3 3" xfId="341" xr:uid="{6C331FD6-9D63-4A08-AE61-87D191349F05}"/>
    <cellStyle name="Milliers 5 2 3 3 2" xfId="755" xr:uid="{8B76F8CC-0A6A-436E-B806-89731657C80D}"/>
    <cellStyle name="Milliers 5 2 3 4" xfId="548" xr:uid="{83CD8D4C-632B-4463-9A0B-A624BE5AA2AD}"/>
    <cellStyle name="Milliers 5 2 4" xfId="180" xr:uid="{EB4E5808-1D5D-4B00-B3BF-EB2CF943ADDD}"/>
    <cellStyle name="Milliers 5 2 4 2" xfId="387" xr:uid="{C1602EDE-A747-470F-84BD-BF9141298B0D}"/>
    <cellStyle name="Milliers 5 2 4 2 2" xfId="801" xr:uid="{1EB8510A-72C1-4B49-A773-EB7DC140809C}"/>
    <cellStyle name="Milliers 5 2 4 3" xfId="594" xr:uid="{4EA3584C-9B21-4012-827F-DE17ADB34C11}"/>
    <cellStyle name="Milliers 5 2 5" xfId="258" xr:uid="{32D0EF5E-C089-44E7-BF26-E7E1E35FAC57}"/>
    <cellStyle name="Milliers 5 2 5 2" xfId="672" xr:uid="{6548D57D-FF11-4EE5-8E38-AD7F47E3C39C}"/>
    <cellStyle name="Milliers 5 2 6" xfId="465" xr:uid="{4A187580-DBCC-4092-8AA1-1CE1EFF6200F}"/>
    <cellStyle name="Milliers 5 3" xfId="54" xr:uid="{902D5967-5FBC-4B1E-9B7D-589A385AFAD0}"/>
    <cellStyle name="Milliers 5 3 2" xfId="141" xr:uid="{53E5FE25-AAD6-4525-BDE6-D4440ED9A628}"/>
    <cellStyle name="Milliers 5 3 2 2" xfId="348" xr:uid="{FC99FDDB-D724-4146-AEE5-5F803326F16E}"/>
    <cellStyle name="Milliers 5 3 2 2 2" xfId="762" xr:uid="{2B04CC8D-F13F-4C12-812F-53EF1B8A2A66}"/>
    <cellStyle name="Milliers 5 3 2 3" xfId="555" xr:uid="{38B8EAE7-3EA0-4854-A9E7-14E983DA42FE}"/>
    <cellStyle name="Milliers 5 3 3" xfId="187" xr:uid="{F08E94BE-9F43-4559-BF71-96CFC84F7D3E}"/>
    <cellStyle name="Milliers 5 3 3 2" xfId="394" xr:uid="{93D99266-8158-47EB-9324-7828F4490477}"/>
    <cellStyle name="Milliers 5 3 3 2 2" xfId="808" xr:uid="{9AE11927-D5E7-49C7-ABF6-874563071512}"/>
    <cellStyle name="Milliers 5 3 3 3" xfId="601" xr:uid="{47022DBB-B33C-4DEA-B2D6-7ACC1BAA9086}"/>
    <cellStyle name="Milliers 5 3 4" xfId="265" xr:uid="{A3B27683-E26A-4509-BAA9-4343350B8F70}"/>
    <cellStyle name="Milliers 5 3 4 2" xfId="679" xr:uid="{B711EB1A-8A0D-4945-96F4-DB6F018C39A9}"/>
    <cellStyle name="Milliers 5 3 5" xfId="472" xr:uid="{5B63E72D-4A87-42C0-9F0A-BE4FD5067EE2}"/>
    <cellStyle name="Milliers 5 4" xfId="118" xr:uid="{25001FC4-1917-4B5C-9B58-F6DF5BD970AD}"/>
    <cellStyle name="Milliers 5 4 2" xfId="210" xr:uid="{419691E4-82D0-4648-828F-CDE0EA819758}"/>
    <cellStyle name="Milliers 5 4 2 2" xfId="417" xr:uid="{03E26ABD-39B0-411F-B1F9-97A6D1B785CE}"/>
    <cellStyle name="Milliers 5 4 2 2 2" xfId="831" xr:uid="{5758477B-A248-4931-B3A9-94D36BC705EB}"/>
    <cellStyle name="Milliers 5 4 2 3" xfId="624" xr:uid="{D532CC5C-53D6-4D3D-8F54-4B06C2A0BAA4}"/>
    <cellStyle name="Milliers 5 4 3" xfId="325" xr:uid="{C9478804-B8F3-4B3E-8624-0CDB9335DF0E}"/>
    <cellStyle name="Milliers 5 4 3 2" xfId="739" xr:uid="{B0D3E046-6D19-439E-ACF1-8939323C81FD}"/>
    <cellStyle name="Milliers 5 4 4" xfId="532" xr:uid="{C7A2D8F7-D092-4BD0-9984-34D80F5EC802}"/>
    <cellStyle name="Milliers 5 5" xfId="164" xr:uid="{53F16D3C-6D2E-40DA-A8CA-28DB2D754DF1}"/>
    <cellStyle name="Milliers 5 5 2" xfId="371" xr:uid="{4DECE9D7-E5E4-4354-B61C-FD40E71F2AD0}"/>
    <cellStyle name="Milliers 5 5 2 2" xfId="785" xr:uid="{0357E6FC-3A1D-4783-A1FF-AAF9D4D2E135}"/>
    <cellStyle name="Milliers 5 5 3" xfId="578" xr:uid="{0591045F-C638-4CC1-A5C1-D5BE9F702DE5}"/>
    <cellStyle name="Milliers 5 6" xfId="242" xr:uid="{003692FB-4F84-4A75-8A41-C45EE90AEE04}"/>
    <cellStyle name="Milliers 5 6 2" xfId="656" xr:uid="{0F670928-2270-4BF4-8748-DB8204B3C4C6}"/>
    <cellStyle name="Milliers 5 7" xfId="449" xr:uid="{04A45E28-B8EF-489B-BF9A-34D228933DBC}"/>
    <cellStyle name="Milliers 6" xfId="32" xr:uid="{8237F0AB-33F7-46A7-8830-9228BA6A96F9}"/>
    <cellStyle name="Milliers 6 2" xfId="145" xr:uid="{49032606-B96A-4F93-A0A9-773BB351ADA1}"/>
    <cellStyle name="Milliers 6 2 2" xfId="191" xr:uid="{E582A54F-72F9-44A8-87FA-F00768CC58AD}"/>
    <cellStyle name="Milliers 6 2 2 2" xfId="398" xr:uid="{670140AA-1001-42F7-AA1C-3F7FAE82C856}"/>
    <cellStyle name="Milliers 6 2 2 2 2" xfId="812" xr:uid="{667D76C1-4D13-4598-A920-98FC9B5C4281}"/>
    <cellStyle name="Milliers 6 2 2 3" xfId="605" xr:uid="{194B015B-C265-4C4A-9D02-70F0BA2229CE}"/>
    <cellStyle name="Milliers 6 2 3" xfId="352" xr:uid="{CCE411ED-192F-4DE5-888C-B4D1D314324C}"/>
    <cellStyle name="Milliers 6 2 3 2" xfId="766" xr:uid="{6D83E6B2-BD00-4EB4-8EC6-509FAFB6383F}"/>
    <cellStyle name="Milliers 6 2 4" xfId="559" xr:uid="{6129E6AD-9EDB-4AAF-B4C5-2E5D6302B289}"/>
    <cellStyle name="Milliers 6 3" xfId="122" xr:uid="{25C9A5C0-F312-43EF-A84F-A81DAD2FF9EE}"/>
    <cellStyle name="Milliers 6 3 2" xfId="214" xr:uid="{D2A39CE9-C1EC-4A37-8EDF-4E2718542985}"/>
    <cellStyle name="Milliers 6 3 2 2" xfId="421" xr:uid="{1F65916B-4143-4798-AC6D-B264465ACF0B}"/>
    <cellStyle name="Milliers 6 3 2 2 2" xfId="835" xr:uid="{55D10A91-8776-401B-AE6B-651A33B7AA26}"/>
    <cellStyle name="Milliers 6 3 2 3" xfId="628" xr:uid="{039A5B26-3D45-4858-8E85-DFD119D0CBB7}"/>
    <cellStyle name="Milliers 6 3 3" xfId="329" xr:uid="{7EC5B6D9-ADF0-403F-9FF6-9B2B418E58E0}"/>
    <cellStyle name="Milliers 6 3 3 2" xfId="743" xr:uid="{F9720490-2F15-4C3E-948A-EE961FC3851A}"/>
    <cellStyle name="Milliers 6 3 4" xfId="536" xr:uid="{6A8D50FE-5A66-45EA-B845-B054A4B73FDB}"/>
    <cellStyle name="Milliers 6 4" xfId="168" xr:uid="{13E7997A-A6AF-43B3-9EB8-5D2918FCB3D8}"/>
    <cellStyle name="Milliers 6 4 2" xfId="375" xr:uid="{1C59F2B0-5311-47A5-8A71-5B64183A3768}"/>
    <cellStyle name="Milliers 6 4 2 2" xfId="789" xr:uid="{A0A84EAE-3D9B-4985-A2E8-D4DFA26BB701}"/>
    <cellStyle name="Milliers 6 4 3" xfId="582" xr:uid="{B0C410E6-8862-492A-9F3D-29BE6DEDF3EF}"/>
    <cellStyle name="Milliers 6 5" xfId="246" xr:uid="{721299DE-3FAF-4CB6-BEA8-E2EDFA09171B}"/>
    <cellStyle name="Milliers 6 5 2" xfId="660" xr:uid="{1EAE2E1C-E589-4DC7-9EAA-D4968DDF2020}"/>
    <cellStyle name="Milliers 6 6" xfId="453" xr:uid="{A2991F64-5D29-44AC-8B6A-0DA87A0C6C34}"/>
    <cellStyle name="Milliers 7" xfId="40" xr:uid="{815C3CFF-651A-4CEF-AA40-D7DE2FBA8443}"/>
    <cellStyle name="Milliers 7 2" xfId="151" xr:uid="{5999C56D-8553-429E-89AE-BD465776B791}"/>
    <cellStyle name="Milliers 7 2 2" xfId="197" xr:uid="{945CE526-6134-4F7E-816E-FDA9016ACB64}"/>
    <cellStyle name="Milliers 7 2 2 2" xfId="404" xr:uid="{C3A95D12-5876-497A-BDD7-556EE5BD1852}"/>
    <cellStyle name="Milliers 7 2 2 2 2" xfId="818" xr:uid="{1E291C1C-CE5D-4FC7-97DA-3D80C7150AF8}"/>
    <cellStyle name="Milliers 7 2 2 3" xfId="611" xr:uid="{B10EAF63-19E7-4CE9-930D-9FA3FB14DDBE}"/>
    <cellStyle name="Milliers 7 2 3" xfId="358" xr:uid="{E3670723-0E00-41BE-8C29-24765710102C}"/>
    <cellStyle name="Milliers 7 2 3 2" xfId="772" xr:uid="{3FF550A9-6A33-46AD-8865-ACE4CD91296F}"/>
    <cellStyle name="Milliers 7 2 4" xfId="565" xr:uid="{5872864C-4E0D-4803-99F3-9437ED1673B3}"/>
    <cellStyle name="Milliers 7 3" xfId="128" xr:uid="{B03BE7CD-CC42-440A-B5FC-4FF743CE213D}"/>
    <cellStyle name="Milliers 7 3 2" xfId="220" xr:uid="{89568DA9-276B-47B9-A627-8F6ACCE109D1}"/>
    <cellStyle name="Milliers 7 3 2 2" xfId="427" xr:uid="{6DE08B79-1858-4424-AFE4-7F7469203F77}"/>
    <cellStyle name="Milliers 7 3 2 2 2" xfId="841" xr:uid="{B0CA49EE-F169-4633-ACEE-C531FA6CA416}"/>
    <cellStyle name="Milliers 7 3 2 3" xfId="634" xr:uid="{3ABFE102-FDEF-4BDE-A85A-A6419FC34AFE}"/>
    <cellStyle name="Milliers 7 3 3" xfId="335" xr:uid="{289A3EEE-4CA7-4F1C-B2F6-4F49B4BCBF64}"/>
    <cellStyle name="Milliers 7 3 3 2" xfId="749" xr:uid="{E219CA73-12BE-49AB-A50D-573E388A8981}"/>
    <cellStyle name="Milliers 7 3 4" xfId="542" xr:uid="{6614A69A-0530-4F8D-B9E3-B23C4E5407D7}"/>
    <cellStyle name="Milliers 7 4" xfId="174" xr:uid="{11879E71-2E51-4D00-916F-C19F51BE5881}"/>
    <cellStyle name="Milliers 7 4 2" xfId="381" xr:uid="{7F0EA16C-B619-435A-8A72-82B01CD1A683}"/>
    <cellStyle name="Milliers 7 4 2 2" xfId="795" xr:uid="{721388B3-4987-47CB-BAF8-E418BC71F600}"/>
    <cellStyle name="Milliers 7 4 3" xfId="588" xr:uid="{15D38103-0E5E-41C1-82D7-DF6B148E1368}"/>
    <cellStyle name="Milliers 7 5" xfId="252" xr:uid="{088DB550-0638-45F8-89BF-C3ABB73B70C5}"/>
    <cellStyle name="Milliers 7 5 2" xfId="666" xr:uid="{30C97990-50BD-495D-887C-B20407B84B89}"/>
    <cellStyle name="Milliers 7 6" xfId="459" xr:uid="{DE37E111-EE48-4DC1-A0D6-10A317331A4B}"/>
    <cellStyle name="Normal" xfId="0" builtinId="0"/>
    <cellStyle name="Per cent" xfId="848" builtinId="5"/>
    <cellStyle name="Standard 2" xfId="7" xr:uid="{02935EEE-D41F-4224-B108-C049612C2654}"/>
    <cellStyle name="Standard 3" xfId="9" xr:uid="{2361D298-2485-4DC8-9E1C-4334EF5D0260}"/>
    <cellStyle name="Standard 4" xfId="6" xr:uid="{5103AD5A-9096-4826-B1B8-4F334CF31CA1}"/>
    <cellStyle name="Währung 2" xfId="8" xr:uid="{443E5D32-1D50-428F-8AED-4927B1001AFD}"/>
    <cellStyle name="Währung 2 2" xfId="13" xr:uid="{11D28F44-6A84-421C-804A-8723ACC42593}"/>
    <cellStyle name="Währung 2 2 2" xfId="36" xr:uid="{79BBA215-4F71-44E8-B506-CA00FB2CFA95}"/>
    <cellStyle name="Währung 2 2 3" xfId="44" xr:uid="{AE011122-490D-4E01-8E6C-B5D2BF414B64}"/>
    <cellStyle name="Währung 2 3" xfId="26" xr:uid="{B7BCF5A4-49A5-473C-95BD-0FD18DF5E5C5}"/>
    <cellStyle name="Währung 2 3 2" xfId="70" xr:uid="{58652AAE-01D6-445F-A3FD-72AEB04A8F26}"/>
    <cellStyle name="Währung 2 4" xfId="31" xr:uid="{0E951347-42ED-4291-9441-10894CD06A64}"/>
    <cellStyle name="Währung 2 5" xfId="39" xr:uid="{E602F0DF-507D-41F1-BCBE-86F04A891D6B}"/>
    <cellStyle name="Währung 2 5 2" xfId="62" xr:uid="{5A173019-2E26-4244-BDA1-D6FC31A345B5}"/>
    <cellStyle name="Währung 2 6" xfId="75" xr:uid="{3AB902F9-AC9E-41E3-9214-9FD06B8E1022}"/>
    <cellStyle name="Währung 3" xfId="22" xr:uid="{E3BB2901-DA2C-4068-8144-D389EBE1D013}"/>
    <cellStyle name="Währung 3 2" xfId="66" xr:uid="{5FE20979-E4A6-419F-BDDA-0063AA9EA456}"/>
    <cellStyle name="Währung 4" xfId="18" xr:uid="{483779ED-F115-4B13-9141-93514FE0BECF}"/>
  </cellStyles>
  <dxfs count="0"/>
  <tableStyles count="0" defaultTableStyle="TableStyleMedium2" defaultPivotStyle="PivotStyleLight16"/>
  <colors>
    <mruColors>
      <color rgb="FFFF5050"/>
      <color rgb="FFFFCCCC"/>
      <color rgb="FFBDD7EE"/>
      <color rgb="FF00B050"/>
      <color rgb="FF00B0F0"/>
      <color rgb="FF0066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/Org/FILM/Bereich/Transfer%20Sektion/Auswertung%20und%20Vielfalt/Leitung/Auswertungen/Finanzierung/finanzierungsplaene-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esListe"/>
      <sheetName val="BoxOffice"/>
      <sheetName val="Festivals"/>
      <sheetName val="fiss"/>
    </sheetNames>
    <sheetDataSet>
      <sheetData sheetId="0">
        <row r="3">
          <cell r="A3" t="str">
            <v>id</v>
          </cell>
          <cell r="B3" t="str">
            <v>tit</v>
          </cell>
          <cell r="C3" t="str">
            <v>tot</v>
          </cell>
          <cell r="D3" t="str">
            <v>id1</v>
          </cell>
          <cell r="E3" t="str">
            <v>id2</v>
          </cell>
          <cell r="F3" t="str">
            <v>id3</v>
          </cell>
          <cell r="G3" t="str">
            <v>id4</v>
          </cell>
          <cell r="H3" t="str">
            <v>id5</v>
          </cell>
          <cell r="I3" t="str">
            <v>id6</v>
          </cell>
          <cell r="J3" t="str">
            <v>id7</v>
          </cell>
          <cell r="K3" t="str">
            <v>id8</v>
          </cell>
          <cell r="L3" t="str">
            <v>id9</v>
          </cell>
          <cell r="M3" t="str">
            <v>id10</v>
          </cell>
          <cell r="N3" t="str">
            <v>id11</v>
          </cell>
          <cell r="O3" t="str">
            <v>id12</v>
          </cell>
          <cell r="P3" t="str">
            <v>id13</v>
          </cell>
          <cell r="Q3" t="str">
            <v>id14</v>
          </cell>
          <cell r="R3" t="str">
            <v>id15</v>
          </cell>
          <cell r="S3" t="str">
            <v>id16</v>
          </cell>
          <cell r="T3" t="str">
            <v>id17</v>
          </cell>
          <cell r="U3" t="str">
            <v>id18</v>
          </cell>
          <cell r="V3" t="str">
            <v>id19</v>
          </cell>
          <cell r="W3" t="str">
            <v>id20</v>
          </cell>
          <cell r="X3" t="str">
            <v>id21</v>
          </cell>
          <cell r="Y3" t="str">
            <v>id22</v>
          </cell>
          <cell r="Z3" t="str">
            <v>id23</v>
          </cell>
          <cell r="AA3" t="str">
            <v>id24</v>
          </cell>
          <cell r="AB3" t="str">
            <v>id25</v>
          </cell>
          <cell r="AC3" t="str">
            <v>id26</v>
          </cell>
          <cell r="AD3" t="str">
            <v>id27</v>
          </cell>
          <cell r="AE3" t="str">
            <v>id28</v>
          </cell>
          <cell r="AF3" t="str">
            <v>id29</v>
          </cell>
          <cell r="AG3" t="str">
            <v>id30</v>
          </cell>
          <cell r="AH3" t="str">
            <v>id31</v>
          </cell>
          <cell r="AI3" t="str">
            <v>id32</v>
          </cell>
          <cell r="AJ3" t="str">
            <v>id33</v>
          </cell>
          <cell r="AK3" t="str">
            <v>id34</v>
          </cell>
          <cell r="AL3" t="str">
            <v>id35</v>
          </cell>
          <cell r="AM3" t="str">
            <v>id36</v>
          </cell>
          <cell r="AN3" t="str">
            <v>id37</v>
          </cell>
          <cell r="AO3" t="str">
            <v>id38</v>
          </cell>
          <cell r="AP3" t="str">
            <v>id39</v>
          </cell>
          <cell r="AQ3" t="str">
            <v>id40</v>
          </cell>
          <cell r="AR3" t="str">
            <v>id41</v>
          </cell>
          <cell r="AS3" t="str">
            <v>id42</v>
          </cell>
          <cell r="AT3" t="str">
            <v>id43</v>
          </cell>
          <cell r="AU3" t="str">
            <v>id44</v>
          </cell>
          <cell r="AV3" t="str">
            <v>id45</v>
          </cell>
          <cell r="AW3" t="str">
            <v>id46</v>
          </cell>
          <cell r="AX3" t="str">
            <v>id47</v>
          </cell>
          <cell r="AY3" t="str">
            <v>id48</v>
          </cell>
          <cell r="AZ3" t="str">
            <v>id49</v>
          </cell>
          <cell r="BA3" t="str">
            <v>id50</v>
          </cell>
          <cell r="BB3" t="str">
            <v>id51</v>
          </cell>
          <cell r="BC3" t="str">
            <v>id52</v>
          </cell>
          <cell r="BD3" t="str">
            <v>id53</v>
          </cell>
          <cell r="BE3" t="str">
            <v>id54</v>
          </cell>
          <cell r="BF3" t="str">
            <v>id55</v>
          </cell>
          <cell r="BG3" t="str">
            <v>id56</v>
          </cell>
          <cell r="BH3" t="str">
            <v>id57</v>
          </cell>
          <cell r="BI3" t="str">
            <v>id58</v>
          </cell>
          <cell r="BJ3" t="str">
            <v>id59</v>
          </cell>
          <cell r="BK3" t="str">
            <v>id60</v>
          </cell>
          <cell r="BL3" t="str">
            <v>id61</v>
          </cell>
          <cell r="BM3" t="str">
            <v>id62</v>
          </cell>
          <cell r="BN3" t="str">
            <v>id63</v>
          </cell>
          <cell r="BO3" t="str">
            <v>id64</v>
          </cell>
          <cell r="BP3" t="str">
            <v>id65</v>
          </cell>
          <cell r="BQ3" t="str">
            <v>id66</v>
          </cell>
          <cell r="BR3" t="str">
            <v>id67</v>
          </cell>
          <cell r="BS3" t="str">
            <v>id68</v>
          </cell>
          <cell r="BT3" t="str">
            <v>id69</v>
          </cell>
          <cell r="BU3" t="str">
            <v>id70</v>
          </cell>
          <cell r="BV3" t="str">
            <v>id71</v>
          </cell>
          <cell r="BW3" t="str">
            <v>id72</v>
          </cell>
          <cell r="BX3" t="str">
            <v>id73</v>
          </cell>
          <cell r="BY3" t="str">
            <v>id74</v>
          </cell>
          <cell r="BZ3" t="str">
            <v>id75</v>
          </cell>
          <cell r="CA3" t="str">
            <v>id76</v>
          </cell>
          <cell r="CB3" t="str">
            <v>id77</v>
          </cell>
          <cell r="CC3" t="str">
            <v>id78</v>
          </cell>
        </row>
        <row r="4">
          <cell r="A4" t="str">
            <v>ok</v>
          </cell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  <cell r="BN4"/>
          <cell r="BO4"/>
          <cell r="BP4"/>
          <cell r="BQ4"/>
          <cell r="BR4"/>
          <cell r="BS4"/>
          <cell r="BT4"/>
          <cell r="BU4"/>
          <cell r="BV4"/>
          <cell r="BW4"/>
          <cell r="BX4"/>
          <cell r="BY4"/>
          <cell r="BZ4"/>
          <cell r="CA4"/>
          <cell r="CB4"/>
          <cell r="CC4"/>
        </row>
        <row r="5">
          <cell r="A5" t="str">
            <v>suisa</v>
          </cell>
          <cell r="B5"/>
          <cell r="C5"/>
          <cell r="D5">
            <v>1012.739</v>
          </cell>
          <cell r="E5">
            <v>1012.651</v>
          </cell>
          <cell r="F5">
            <v>1012.271</v>
          </cell>
          <cell r="G5">
            <v>1012.658</v>
          </cell>
          <cell r="H5" t="str">
            <v>swissfilms</v>
          </cell>
          <cell r="I5" t="str">
            <v>swissfilms</v>
          </cell>
          <cell r="J5" t="str">
            <v>1012.880</v>
          </cell>
          <cell r="K5">
            <v>1012.582</v>
          </cell>
          <cell r="L5">
            <v>1012.898</v>
          </cell>
          <cell r="M5">
            <v>1012.256</v>
          </cell>
          <cell r="N5">
            <v>1013.373</v>
          </cell>
          <cell r="O5">
            <v>1012.8150000000001</v>
          </cell>
          <cell r="P5" t="str">
            <v>nein</v>
          </cell>
          <cell r="Q5">
            <v>1012.813</v>
          </cell>
          <cell r="R5" t="str">
            <v>nein</v>
          </cell>
          <cell r="S5">
            <v>1012.8390000000001</v>
          </cell>
          <cell r="T5">
            <v>1013.126</v>
          </cell>
          <cell r="U5">
            <v>1012.919</v>
          </cell>
          <cell r="V5">
            <v>1013.585</v>
          </cell>
          <cell r="W5">
            <v>1012.965</v>
          </cell>
          <cell r="X5" t="str">
            <v>1012.370</v>
          </cell>
          <cell r="Y5">
            <v>1012.609</v>
          </cell>
          <cell r="Z5">
            <v>1011.506</v>
          </cell>
          <cell r="AA5" t="str">
            <v>nein</v>
          </cell>
          <cell r="AB5">
            <v>1011.998</v>
          </cell>
          <cell r="AC5">
            <v>1013.028</v>
          </cell>
          <cell r="AD5">
            <v>1016.224</v>
          </cell>
          <cell r="AE5">
            <v>1012.062</v>
          </cell>
          <cell r="AF5" t="str">
            <v>nein</v>
          </cell>
          <cell r="AG5">
            <v>1013.207</v>
          </cell>
          <cell r="AH5">
            <v>1013.0069999999999</v>
          </cell>
          <cell r="AI5">
            <v>1012.812</v>
          </cell>
          <cell r="AJ5">
            <v>1012.995</v>
          </cell>
          <cell r="AK5">
            <v>1012.1369999999999</v>
          </cell>
          <cell r="AL5">
            <v>1012.277</v>
          </cell>
          <cell r="AM5">
            <v>1011.7859999999999</v>
          </cell>
          <cell r="AN5">
            <v>1013.306</v>
          </cell>
          <cell r="AO5">
            <v>1012.9589999999999</v>
          </cell>
          <cell r="AP5">
            <v>1013.133</v>
          </cell>
          <cell r="AQ5">
            <v>1012.894</v>
          </cell>
          <cell r="AR5">
            <v>1013.397</v>
          </cell>
          <cell r="AS5">
            <v>1012.824</v>
          </cell>
          <cell r="AT5" t="str">
            <v>1013.710</v>
          </cell>
          <cell r="AU5">
            <v>1012.7380000000001</v>
          </cell>
          <cell r="AV5">
            <v>1012.283</v>
          </cell>
          <cell r="AW5">
            <v>1012.827</v>
          </cell>
          <cell r="AX5">
            <v>1013.0119999999999</v>
          </cell>
          <cell r="AY5">
            <v>1011.956</v>
          </cell>
          <cell r="AZ5">
            <v>1012.328</v>
          </cell>
          <cell r="BA5">
            <v>1013.271</v>
          </cell>
          <cell r="BB5">
            <v>1011.921</v>
          </cell>
          <cell r="BC5" t="str">
            <v>swissfilms</v>
          </cell>
          <cell r="BD5">
            <v>1013.597</v>
          </cell>
          <cell r="BE5" t="str">
            <v>swissfilms</v>
          </cell>
          <cell r="BF5">
            <v>1014.638</v>
          </cell>
          <cell r="BG5" t="str">
            <v>nein</v>
          </cell>
          <cell r="BH5">
            <v>1013.5839999999999</v>
          </cell>
          <cell r="BI5">
            <v>1012.881</v>
          </cell>
          <cell r="BJ5">
            <v>1015.314</v>
          </cell>
          <cell r="BK5">
            <v>1013.083</v>
          </cell>
          <cell r="BL5">
            <v>1012.946</v>
          </cell>
          <cell r="BM5">
            <v>1007.943</v>
          </cell>
          <cell r="BN5" t="str">
            <v>swissfilms</v>
          </cell>
          <cell r="BO5">
            <v>1012.978</v>
          </cell>
          <cell r="BP5">
            <v>1012.627</v>
          </cell>
          <cell r="BQ5">
            <v>1014.337</v>
          </cell>
          <cell r="BR5">
            <v>1012.4349999999999</v>
          </cell>
          <cell r="BS5" t="str">
            <v>nein</v>
          </cell>
          <cell r="BT5" t="str">
            <v>nein</v>
          </cell>
          <cell r="BU5">
            <v>1012.421</v>
          </cell>
          <cell r="BV5" t="str">
            <v>swissfilms</v>
          </cell>
          <cell r="BW5" t="str">
            <v>swissfilms</v>
          </cell>
          <cell r="BX5" t="str">
            <v>112.790</v>
          </cell>
          <cell r="BY5">
            <v>1012.518</v>
          </cell>
          <cell r="BZ5">
            <v>1012.913</v>
          </cell>
          <cell r="CA5" t="str">
            <v>1012.833</v>
          </cell>
          <cell r="CB5">
            <v>1013.8390000000001</v>
          </cell>
          <cell r="CC5">
            <v>1011.972</v>
          </cell>
        </row>
        <row r="6">
          <cell r="A6" t="str">
            <v>title</v>
          </cell>
          <cell r="B6" t="str">
            <v>Titel</v>
          </cell>
          <cell r="C6" t="str">
            <v>TOTAL</v>
          </cell>
          <cell r="D6" t="str">
            <v>#Female Pleasure (The Female Touch)</v>
          </cell>
          <cell r="E6" t="str">
            <v>1999 (aka Wish You Were Here)</v>
          </cell>
          <cell r="F6" t="str">
            <v>A Campaign On Their Own</v>
          </cell>
          <cell r="G6" t="str">
            <v>A l'école des philosophes</v>
          </cell>
          <cell r="H6" t="str">
            <v>Alberto Nessi: fiori d'ombra</v>
          </cell>
          <cell r="I6" t="str">
            <v>A Stray Bullet</v>
          </cell>
          <cell r="J6" t="str">
            <v>Gateways to New York (aka Ammann, Poesie in Stahl)</v>
          </cell>
          <cell r="K6" t="str">
            <v>Apfel und Vulkan</v>
          </cell>
          <cell r="L6" t="str">
            <v>Architektur der Unendlichkeit</v>
          </cell>
          <cell r="M6" t="str">
            <v>Avant la fin de l'été</v>
          </cell>
          <cell r="N6" t="str">
            <v>Baghdad In My Shadow</v>
          </cell>
          <cell r="O6" t="str">
            <v>Becoming Animal</v>
          </cell>
          <cell r="P6" t="str">
            <v>Bratsch</v>
          </cell>
          <cell r="Q6" t="str">
            <v>Bruno Manser - die Stimme des Regenwaldes (aka Paradise War)</v>
          </cell>
          <cell r="R6" t="str">
            <v>Cavale</v>
          </cell>
          <cell r="S6" t="str">
            <v>Ceux qui travaillent</v>
          </cell>
          <cell r="T6" t="str">
            <v>Chaco (aka Tierra del Mal)</v>
          </cell>
          <cell r="U6" t="str">
            <v>Closing Time</v>
          </cell>
          <cell r="V6" t="str">
            <v>Contradict</v>
          </cell>
          <cell r="W6" t="str">
            <v>Cronofobia</v>
          </cell>
          <cell r="X6" t="str">
            <v>Blue Note Records: Beyond the Notes (aka Das Blue Note Projekt)</v>
          </cell>
          <cell r="Y6" t="str">
            <v>Das Leben vor dem Tod (aka Mein Vater, sein Nachbar und ich)</v>
          </cell>
          <cell r="Z6" t="str">
            <v>Der Frosch</v>
          </cell>
          <cell r="AA6" t="str">
            <v>Der Krieg in uns</v>
          </cell>
          <cell r="AB6" t="str">
            <v>Der Unschuldige</v>
          </cell>
          <cell r="AC6" t="str">
            <v>My Little One (aka Désert)</v>
          </cell>
          <cell r="AD6" t="str">
            <v>Dida</v>
          </cell>
          <cell r="AE6" t="str">
            <v>Didi Contractor</v>
          </cell>
          <cell r="AF6" t="str">
            <v>Die Getriebenen</v>
          </cell>
          <cell r="AG6" t="str">
            <v>Dr Tscharniblues 2.0</v>
          </cell>
          <cell r="AH6" t="str">
            <v>Fair Traders (aka Touch the Future)</v>
          </cell>
          <cell r="AI6" t="str">
            <v>Familienpraxis</v>
          </cell>
          <cell r="AJ6" t="str">
            <v>Free Men</v>
          </cell>
          <cell r="AK6" t="str">
            <v>Frontaliers Disaster</v>
          </cell>
          <cell r="AL6" t="str">
            <v>Gotthard</v>
          </cell>
          <cell r="AM6" t="str">
            <v>I Am Truly a Drop of Sun on Earth</v>
          </cell>
          <cell r="AN6" t="str">
            <v>Insoumise</v>
          </cell>
          <cell r="AO6" t="str">
            <v>Insulaire</v>
          </cell>
          <cell r="AP6" t="str">
            <v>L'Apollon de Gaza (aka A la recherche d'Apollon)</v>
          </cell>
          <cell r="AQ6" t="str">
            <v>L'ospite</v>
          </cell>
          <cell r="AR6" t="str">
            <v>La preuve scientificique de l'existence de Dieu</v>
          </cell>
          <cell r="AS6" t="str">
            <v>La séparation des traces</v>
          </cell>
          <cell r="AT6" t="str">
            <v>Fiancées (aka Le contrat)</v>
          </cell>
          <cell r="AU6" t="str">
            <v>Lazzaro Felice</v>
          </cell>
          <cell r="AV6" t="str">
            <v>Le vénérable W</v>
          </cell>
          <cell r="AW6" t="str">
            <v>Le vent tourne</v>
          </cell>
          <cell r="AX6" t="str">
            <v>Les âmes mortes (aka Past in the Present aka Dead Souls)</v>
          </cell>
          <cell r="AY6" t="str">
            <v>Les voyages extraordinaires d'Ella Maillart</v>
          </cell>
          <cell r="AZ6" t="str">
            <v>Level Up Your Life</v>
          </cell>
          <cell r="BA6" t="str">
            <v>Ly-Ling &amp; Herr Urgesi (aka Die Designerin und der Schneider)</v>
          </cell>
          <cell r="BB6" t="str">
            <v>Mario</v>
          </cell>
          <cell r="BC6" t="str">
            <v>Master of Disaster</v>
          </cell>
          <cell r="BD6" t="str">
            <v>Miriam Goldschmidt – Erfinderin von Dazwischen (aka Der Tod und das Mädchen)</v>
          </cell>
          <cell r="BE6" t="str">
            <v>Moka noir - A Omegna non si beve più il caffè</v>
          </cell>
          <cell r="BF6" t="str">
            <v>Nemesis (aka A House is Built)</v>
          </cell>
          <cell r="BG6" t="str">
            <v>Nuit obscure</v>
          </cell>
          <cell r="BH6" t="str">
            <v>O fim do mundo</v>
          </cell>
          <cell r="BI6" t="str">
            <v>Out of Paradise</v>
          </cell>
          <cell r="BJ6" t="str">
            <v>Parallel Lives</v>
          </cell>
          <cell r="BK6" t="str">
            <v>Passion</v>
          </cell>
          <cell r="BL6" t="str">
            <v xml:space="preserve">Pearl </v>
          </cell>
          <cell r="BM6" t="str">
            <v>Romans d'adultes - Sur le chemin de l'indépendance</v>
          </cell>
          <cell r="BN6" t="str">
            <v>Rue Mayskaya</v>
          </cell>
          <cell r="BO6" t="str">
            <v>Seuls ensemble (aka Mystery in Space)</v>
          </cell>
          <cell r="BP6" t="str">
            <v>Shadow Thieves</v>
          </cell>
          <cell r="BQ6" t="str">
            <v>Soul of a Beast (aka Beast)</v>
          </cell>
          <cell r="BR6" t="str">
            <v>Strangers</v>
          </cell>
          <cell r="BS6" t="str">
            <v>Suche nach Europa</v>
          </cell>
          <cell r="BT6" t="str">
            <v>The Music of What Happens</v>
          </cell>
          <cell r="BU6" t="str">
            <v>Transformance</v>
          </cell>
          <cell r="BV6" t="str">
            <v>Une urgence ordinaiure (aka Une affaire urgente)</v>
          </cell>
          <cell r="BW6" t="str">
            <v>Watch Over Me (aka Palliative Care)</v>
          </cell>
          <cell r="BX6" t="str">
            <v>Wo bist Du, Joao Gilberto?</v>
          </cell>
          <cell r="BY6" t="str">
            <v>Wolkenbruch</v>
          </cell>
          <cell r="BZ6" t="str">
            <v>Zone Rouge</v>
          </cell>
          <cell r="CA6" t="str">
            <v>Zürcher Tagebuch</v>
          </cell>
          <cell r="CB6" t="str">
            <v>Volunteer (aka Zurück aus Idomeni)</v>
          </cell>
          <cell r="CC6" t="str">
            <v>Zwingli</v>
          </cell>
        </row>
        <row r="7">
          <cell r="A7" t="str">
            <v>genre</v>
          </cell>
          <cell r="B7" t="str">
            <v>Genre (F, D, A)</v>
          </cell>
          <cell r="C7"/>
          <cell r="D7" t="str">
            <v>D</v>
          </cell>
          <cell r="E7" t="str">
            <v>D</v>
          </cell>
          <cell r="F7" t="str">
            <v>D</v>
          </cell>
          <cell r="G7" t="str">
            <v>D</v>
          </cell>
          <cell r="H7" t="str">
            <v>D</v>
          </cell>
          <cell r="I7" t="str">
            <v>D</v>
          </cell>
          <cell r="J7" t="str">
            <v>D</v>
          </cell>
          <cell r="K7" t="str">
            <v>D</v>
          </cell>
          <cell r="L7" t="str">
            <v>D</v>
          </cell>
          <cell r="M7" t="str">
            <v>D</v>
          </cell>
          <cell r="N7" t="str">
            <v>F</v>
          </cell>
          <cell r="O7" t="str">
            <v>D</v>
          </cell>
          <cell r="P7" t="str">
            <v>D</v>
          </cell>
          <cell r="Q7" t="str">
            <v>F</v>
          </cell>
          <cell r="R7" t="str">
            <v>F</v>
          </cell>
          <cell r="S7" t="str">
            <v>F</v>
          </cell>
          <cell r="T7" t="str">
            <v>D</v>
          </cell>
          <cell r="U7" t="str">
            <v>D</v>
          </cell>
          <cell r="V7" t="str">
            <v>D</v>
          </cell>
          <cell r="W7" t="str">
            <v>F</v>
          </cell>
          <cell r="X7" t="str">
            <v>D</v>
          </cell>
          <cell r="Y7" t="str">
            <v>D</v>
          </cell>
          <cell r="Z7" t="str">
            <v>F</v>
          </cell>
          <cell r="AA7" t="str">
            <v>D</v>
          </cell>
          <cell r="AB7" t="str">
            <v>F</v>
          </cell>
          <cell r="AC7" t="str">
            <v>F</v>
          </cell>
          <cell r="AD7" t="str">
            <v>D</v>
          </cell>
          <cell r="AE7" t="str">
            <v>D</v>
          </cell>
          <cell r="AF7" t="str">
            <v>D</v>
          </cell>
          <cell r="AG7" t="str">
            <v>D</v>
          </cell>
          <cell r="AH7" t="str">
            <v>D</v>
          </cell>
          <cell r="AI7" t="str">
            <v>F</v>
          </cell>
          <cell r="AJ7" t="str">
            <v>D</v>
          </cell>
          <cell r="AK7" t="str">
            <v>F</v>
          </cell>
          <cell r="AL7" t="str">
            <v>D</v>
          </cell>
          <cell r="AM7" t="str">
            <v>F</v>
          </cell>
          <cell r="AN7" t="str">
            <v>F</v>
          </cell>
          <cell r="AO7" t="str">
            <v>D</v>
          </cell>
          <cell r="AP7" t="str">
            <v>D</v>
          </cell>
          <cell r="AQ7" t="str">
            <v>F</v>
          </cell>
          <cell r="AR7" t="str">
            <v>F</v>
          </cell>
          <cell r="AS7" t="str">
            <v>D</v>
          </cell>
          <cell r="AT7" t="str">
            <v>D</v>
          </cell>
          <cell r="AU7" t="str">
            <v>F</v>
          </cell>
          <cell r="AV7" t="str">
            <v>D</v>
          </cell>
          <cell r="AW7" t="str">
            <v>F</v>
          </cell>
          <cell r="AX7" t="str">
            <v>D</v>
          </cell>
          <cell r="AY7" t="str">
            <v>D</v>
          </cell>
          <cell r="AZ7" t="str">
            <v>F</v>
          </cell>
          <cell r="BA7" t="str">
            <v>D</v>
          </cell>
          <cell r="BB7" t="str">
            <v>F</v>
          </cell>
          <cell r="BC7" t="str">
            <v>D</v>
          </cell>
          <cell r="BD7" t="str">
            <v>D</v>
          </cell>
          <cell r="BE7" t="str">
            <v>D</v>
          </cell>
          <cell r="BF7" t="str">
            <v>D</v>
          </cell>
          <cell r="BG7" t="str">
            <v>D</v>
          </cell>
          <cell r="BH7" t="str">
            <v>F</v>
          </cell>
          <cell r="BI7" t="str">
            <v>F</v>
          </cell>
          <cell r="BJ7" t="str">
            <v>D</v>
          </cell>
          <cell r="BK7" t="str">
            <v>D</v>
          </cell>
          <cell r="BL7" t="str">
            <v>F</v>
          </cell>
          <cell r="BM7" t="str">
            <v>D</v>
          </cell>
          <cell r="BN7" t="str">
            <v>D</v>
          </cell>
          <cell r="BO7" t="str">
            <v>D</v>
          </cell>
          <cell r="BP7" t="str">
            <v>D</v>
          </cell>
          <cell r="BQ7" t="str">
            <v>F</v>
          </cell>
          <cell r="BR7" t="str">
            <v>F</v>
          </cell>
          <cell r="BS7" t="str">
            <v>D</v>
          </cell>
          <cell r="BT7" t="str">
            <v>D</v>
          </cell>
          <cell r="BU7" t="str">
            <v>D</v>
          </cell>
          <cell r="BV7" t="str">
            <v>F</v>
          </cell>
          <cell r="BW7" t="str">
            <v>D</v>
          </cell>
          <cell r="BX7" t="str">
            <v>D</v>
          </cell>
          <cell r="BY7" t="str">
            <v>F</v>
          </cell>
          <cell r="BZ7" t="str">
            <v>F</v>
          </cell>
          <cell r="CA7" t="str">
            <v>D</v>
          </cell>
          <cell r="CB7" t="str">
            <v>D</v>
          </cell>
          <cell r="CC7" t="str">
            <v>F</v>
          </cell>
        </row>
        <row r="8">
          <cell r="A8" t="str">
            <v>type</v>
          </cell>
          <cell r="B8" t="str">
            <v>Typ (CH, MAJ; MIN)</v>
          </cell>
          <cell r="C8"/>
          <cell r="D8" t="str">
            <v>MAJ</v>
          </cell>
          <cell r="E8" t="str">
            <v>MIN</v>
          </cell>
          <cell r="F8" t="str">
            <v>CH</v>
          </cell>
          <cell r="G8" t="str">
            <v>CH</v>
          </cell>
          <cell r="H8" t="str">
            <v>CH</v>
          </cell>
          <cell r="I8" t="str">
            <v>CH</v>
          </cell>
          <cell r="J8" t="str">
            <v>CH</v>
          </cell>
          <cell r="K8" t="str">
            <v>CH</v>
          </cell>
          <cell r="L8" t="str">
            <v>CH</v>
          </cell>
          <cell r="M8" t="str">
            <v>MAJ</v>
          </cell>
          <cell r="N8" t="str">
            <v>MAJ</v>
          </cell>
          <cell r="O8" t="str">
            <v>MAJ</v>
          </cell>
          <cell r="P8" t="str">
            <v>CH</v>
          </cell>
          <cell r="Q8" t="str">
            <v>MAJ</v>
          </cell>
          <cell r="R8" t="str">
            <v>MIN</v>
          </cell>
          <cell r="S8" t="str">
            <v>MAJ</v>
          </cell>
          <cell r="T8" t="str">
            <v>MIN</v>
          </cell>
          <cell r="U8" t="str">
            <v>MAJ</v>
          </cell>
          <cell r="V8" t="str">
            <v>CH</v>
          </cell>
          <cell r="W8" t="str">
            <v>CH</v>
          </cell>
          <cell r="X8" t="str">
            <v>CH</v>
          </cell>
          <cell r="Y8" t="str">
            <v>CH</v>
          </cell>
          <cell r="Z8" t="str">
            <v>CH</v>
          </cell>
          <cell r="AA8" t="str">
            <v>MIN</v>
          </cell>
          <cell r="AB8" t="str">
            <v>MAJ</v>
          </cell>
          <cell r="AC8" t="str">
            <v>MAJ</v>
          </cell>
          <cell r="AD8" t="str">
            <v>CH</v>
          </cell>
          <cell r="AE8" t="str">
            <v>CH</v>
          </cell>
          <cell r="AF8" t="str">
            <v>CH</v>
          </cell>
          <cell r="AG8" t="str">
            <v>CH</v>
          </cell>
          <cell r="AH8" t="str">
            <v>CH</v>
          </cell>
          <cell r="AI8" t="str">
            <v>CH</v>
          </cell>
          <cell r="AJ8" t="str">
            <v>CH</v>
          </cell>
          <cell r="AK8" t="str">
            <v>CH</v>
          </cell>
          <cell r="AL8" t="str">
            <v>CH</v>
          </cell>
          <cell r="AM8" t="str">
            <v>CH</v>
          </cell>
          <cell r="AN8" t="str">
            <v>CH</v>
          </cell>
          <cell r="AO8" t="str">
            <v>CH</v>
          </cell>
          <cell r="AP8" t="str">
            <v>MIN</v>
          </cell>
          <cell r="AQ8" t="str">
            <v>MIN</v>
          </cell>
          <cell r="AR8" t="str">
            <v>CH</v>
          </cell>
          <cell r="AS8" t="str">
            <v>CH</v>
          </cell>
          <cell r="AT8" t="str">
            <v>CH</v>
          </cell>
          <cell r="AU8" t="str">
            <v>MIN</v>
          </cell>
          <cell r="AV8" t="str">
            <v>MIN</v>
          </cell>
          <cell r="AW8" t="str">
            <v>MAJ</v>
          </cell>
          <cell r="AX8" t="str">
            <v>MIN</v>
          </cell>
          <cell r="AY8" t="str">
            <v>CH</v>
          </cell>
          <cell r="AZ8" t="str">
            <v>MAJ</v>
          </cell>
          <cell r="BA8" t="str">
            <v>CH</v>
          </cell>
          <cell r="BB8" t="str">
            <v>CH</v>
          </cell>
          <cell r="BC8" t="str">
            <v>MIN</v>
          </cell>
          <cell r="BD8" t="str">
            <v>MAJ</v>
          </cell>
          <cell r="BE8" t="str">
            <v>CH</v>
          </cell>
          <cell r="BF8" t="str">
            <v>CH</v>
          </cell>
          <cell r="BG8" t="str">
            <v>MIN</v>
          </cell>
          <cell r="BH8" t="str">
            <v>CH</v>
          </cell>
          <cell r="BI8" t="str">
            <v>CH</v>
          </cell>
          <cell r="BJ8" t="str">
            <v>CH</v>
          </cell>
          <cell r="BK8" t="str">
            <v>CH</v>
          </cell>
          <cell r="BL8" t="str">
            <v>MIN</v>
          </cell>
          <cell r="BM8" t="str">
            <v>CH</v>
          </cell>
          <cell r="BN8" t="str">
            <v>CH</v>
          </cell>
          <cell r="BO8" t="str">
            <v>CH</v>
          </cell>
          <cell r="BP8" t="str">
            <v>CH</v>
          </cell>
          <cell r="BQ8" t="str">
            <v>CH</v>
          </cell>
          <cell r="BR8" t="str">
            <v>CH</v>
          </cell>
          <cell r="BS8" t="str">
            <v>CH</v>
          </cell>
          <cell r="BT8" t="str">
            <v>CH</v>
          </cell>
          <cell r="BU8" t="str">
            <v>CH</v>
          </cell>
          <cell r="BV8" t="str">
            <v>CH</v>
          </cell>
          <cell r="BW8" t="str">
            <v>MAJ</v>
          </cell>
          <cell r="BX8" t="str">
            <v>MAJ</v>
          </cell>
          <cell r="BY8" t="str">
            <v>MAJ</v>
          </cell>
          <cell r="BZ8" t="str">
            <v>CH</v>
          </cell>
          <cell r="CA8" t="str">
            <v>CH</v>
          </cell>
          <cell r="CB8" t="str">
            <v>CH</v>
          </cell>
          <cell r="CC8" t="str">
            <v>MAJ</v>
          </cell>
        </row>
        <row r="9">
          <cell r="A9" t="str">
            <v>sex</v>
          </cell>
          <cell r="B9" t="str">
            <v>Gender (M, F, X)</v>
          </cell>
          <cell r="C9"/>
          <cell r="D9" t="str">
            <v>F</v>
          </cell>
          <cell r="E9" t="str">
            <v>F</v>
          </cell>
          <cell r="F9" t="str">
            <v>M</v>
          </cell>
          <cell r="G9" t="str">
            <v>M</v>
          </cell>
          <cell r="H9" t="str">
            <v>F</v>
          </cell>
          <cell r="I9" t="str">
            <v>M</v>
          </cell>
          <cell r="J9" t="str">
            <v>M</v>
          </cell>
          <cell r="K9" t="str">
            <v>F</v>
          </cell>
          <cell r="L9" t="str">
            <v>M</v>
          </cell>
          <cell r="M9" t="str">
            <v>F</v>
          </cell>
          <cell r="N9" t="str">
            <v>M</v>
          </cell>
          <cell r="O9" t="str">
            <v>M</v>
          </cell>
          <cell r="P9" t="str">
            <v>M</v>
          </cell>
          <cell r="Q9" t="str">
            <v>M</v>
          </cell>
          <cell r="R9" t="str">
            <v>F</v>
          </cell>
          <cell r="S9" t="str">
            <v>M</v>
          </cell>
          <cell r="T9" t="str">
            <v>F</v>
          </cell>
          <cell r="U9" t="str">
            <v>F</v>
          </cell>
          <cell r="V9" t="str">
            <v>M</v>
          </cell>
          <cell r="W9" t="str">
            <v>M</v>
          </cell>
          <cell r="X9" t="str">
            <v>F</v>
          </cell>
          <cell r="Y9" t="str">
            <v>M</v>
          </cell>
          <cell r="Z9" t="str">
            <v>M</v>
          </cell>
          <cell r="AA9" t="str">
            <v>M</v>
          </cell>
          <cell r="AB9" t="str">
            <v>M</v>
          </cell>
          <cell r="AC9" t="str">
            <v>X</v>
          </cell>
          <cell r="AD9" t="str">
            <v>X</v>
          </cell>
          <cell r="AE9" t="str">
            <v>F</v>
          </cell>
          <cell r="AF9" t="str">
            <v>M</v>
          </cell>
          <cell r="AG9" t="str">
            <v>M</v>
          </cell>
          <cell r="AH9" t="str">
            <v>M</v>
          </cell>
          <cell r="AI9" t="str">
            <v>M</v>
          </cell>
          <cell r="AJ9" t="str">
            <v>F</v>
          </cell>
          <cell r="AK9" t="str">
            <v>M</v>
          </cell>
          <cell r="AL9" t="str">
            <v>M</v>
          </cell>
          <cell r="AM9" t="str">
            <v>F</v>
          </cell>
          <cell r="AN9" t="str">
            <v>X</v>
          </cell>
          <cell r="AO9" t="str">
            <v>M</v>
          </cell>
          <cell r="AP9" t="str">
            <v>M</v>
          </cell>
          <cell r="AQ9" t="str">
            <v>M</v>
          </cell>
          <cell r="AR9" t="str">
            <v>M</v>
          </cell>
          <cell r="AS9" t="str">
            <v>M</v>
          </cell>
          <cell r="AT9" t="str">
            <v>F</v>
          </cell>
          <cell r="AU9" t="str">
            <v>F</v>
          </cell>
          <cell r="AV9" t="str">
            <v>M</v>
          </cell>
          <cell r="AW9" t="str">
            <v>F</v>
          </cell>
          <cell r="AX9" t="str">
            <v>M</v>
          </cell>
          <cell r="AY9" t="str">
            <v>M</v>
          </cell>
          <cell r="AZ9" t="str">
            <v>M</v>
          </cell>
          <cell r="BA9" t="str">
            <v>M</v>
          </cell>
          <cell r="BB9" t="str">
            <v>M</v>
          </cell>
          <cell r="BC9" t="str">
            <v>M</v>
          </cell>
          <cell r="BD9" t="str">
            <v>M</v>
          </cell>
          <cell r="BE9" t="str">
            <v>M</v>
          </cell>
          <cell r="BF9" t="str">
            <v>M</v>
          </cell>
          <cell r="BG9" t="str">
            <v>M</v>
          </cell>
          <cell r="BH9" t="str">
            <v>M</v>
          </cell>
          <cell r="BI9" t="str">
            <v>M</v>
          </cell>
          <cell r="BJ9" t="str">
            <v>M</v>
          </cell>
          <cell r="BK9" t="str">
            <v>M</v>
          </cell>
          <cell r="BL9" t="str">
            <v>F</v>
          </cell>
          <cell r="BM9" t="str">
            <v>F</v>
          </cell>
          <cell r="BN9" t="str">
            <v>M</v>
          </cell>
          <cell r="BO9" t="str">
            <v>X</v>
          </cell>
          <cell r="BP9" t="str">
            <v>M</v>
          </cell>
          <cell r="BQ9" t="str">
            <v>M</v>
          </cell>
          <cell r="BR9" t="str">
            <v>M</v>
          </cell>
          <cell r="BS9" t="str">
            <v>M</v>
          </cell>
          <cell r="BT9" t="str">
            <v>M</v>
          </cell>
          <cell r="BU9" t="str">
            <v>M</v>
          </cell>
          <cell r="BV9" t="str">
            <v>M</v>
          </cell>
          <cell r="BW9" t="str">
            <v>F</v>
          </cell>
          <cell r="BX9" t="str">
            <v>M</v>
          </cell>
          <cell r="BY9" t="str">
            <v>M</v>
          </cell>
          <cell r="BZ9" t="str">
            <v>M</v>
          </cell>
          <cell r="CA9" t="str">
            <v>M</v>
          </cell>
          <cell r="CB9" t="str">
            <v>F</v>
          </cell>
          <cell r="CC9" t="str">
            <v>M</v>
          </cell>
        </row>
        <row r="10">
          <cell r="A10" t="str">
            <v>upcoming</v>
          </cell>
          <cell r="B10" t="str">
            <v>Nachwuchs (ja, nein)</v>
          </cell>
          <cell r="C10"/>
          <cell r="D10" t="str">
            <v>nein</v>
          </cell>
          <cell r="E10" t="str">
            <v>ja</v>
          </cell>
          <cell r="F10" t="str">
            <v>ja</v>
          </cell>
          <cell r="G10" t="str">
            <v>nein</v>
          </cell>
          <cell r="H10" t="str">
            <v>ja</v>
          </cell>
          <cell r="I10" t="str">
            <v>nein</v>
          </cell>
          <cell r="J10" t="str">
            <v>nein</v>
          </cell>
          <cell r="K10" t="str">
            <v>ja</v>
          </cell>
          <cell r="L10" t="str">
            <v>nein</v>
          </cell>
          <cell r="M10" t="str">
            <v>ja</v>
          </cell>
          <cell r="N10" t="str">
            <v>nein</v>
          </cell>
          <cell r="O10" t="str">
            <v>nein</v>
          </cell>
          <cell r="P10" t="str">
            <v>nein</v>
          </cell>
          <cell r="Q10" t="str">
            <v>nein</v>
          </cell>
          <cell r="R10" t="str">
            <v>nein</v>
          </cell>
          <cell r="S10" t="str">
            <v>ja</v>
          </cell>
          <cell r="T10" t="str">
            <v>ja</v>
          </cell>
          <cell r="U10" t="str">
            <v>ja</v>
          </cell>
          <cell r="V10" t="str">
            <v>nein</v>
          </cell>
          <cell r="W10" t="str">
            <v>ja</v>
          </cell>
          <cell r="X10" t="str">
            <v>ja</v>
          </cell>
          <cell r="Y10" t="str">
            <v>ja</v>
          </cell>
          <cell r="Z10" t="str">
            <v>nein</v>
          </cell>
          <cell r="AA10" t="str">
            <v>nein</v>
          </cell>
          <cell r="AB10" t="str">
            <v>ja</v>
          </cell>
          <cell r="AC10" t="str">
            <v>nein</v>
          </cell>
          <cell r="AD10" t="str">
            <v>ja</v>
          </cell>
          <cell r="AE10" t="str">
            <v>ja</v>
          </cell>
          <cell r="AF10" t="str">
            <v>ja</v>
          </cell>
          <cell r="AG10" t="str">
            <v>ja</v>
          </cell>
          <cell r="AH10" t="str">
            <v>nein</v>
          </cell>
          <cell r="AI10" t="str">
            <v>ja</v>
          </cell>
          <cell r="AJ10" t="str">
            <v>ja</v>
          </cell>
          <cell r="AK10" t="str">
            <v>nein</v>
          </cell>
          <cell r="AL10" t="str">
            <v>nein</v>
          </cell>
          <cell r="AM10" t="str">
            <v>ja</v>
          </cell>
          <cell r="AN10" t="str">
            <v>ja</v>
          </cell>
          <cell r="AO10" t="str">
            <v>nein</v>
          </cell>
          <cell r="AP10" t="str">
            <v>nein</v>
          </cell>
          <cell r="AQ10" t="str">
            <v>nein</v>
          </cell>
          <cell r="AR10" t="str">
            <v>nein</v>
          </cell>
          <cell r="AS10" t="str">
            <v>nein</v>
          </cell>
          <cell r="AT10" t="str">
            <v>ja</v>
          </cell>
          <cell r="AU10" t="str">
            <v>nein</v>
          </cell>
          <cell r="AV10" t="str">
            <v>nein</v>
          </cell>
          <cell r="AW10" t="str">
            <v>nein</v>
          </cell>
          <cell r="AX10" t="str">
            <v>nein</v>
          </cell>
          <cell r="AY10" t="str">
            <v>nein</v>
          </cell>
          <cell r="AZ10" t="str">
            <v>nein</v>
          </cell>
          <cell r="BA10" t="str">
            <v>ja</v>
          </cell>
          <cell r="BB10" t="str">
            <v>nein</v>
          </cell>
          <cell r="BC10" t="str">
            <v>nein</v>
          </cell>
          <cell r="BD10" t="str">
            <v>ja</v>
          </cell>
          <cell r="BE10" t="str">
            <v>nein</v>
          </cell>
          <cell r="BF10" t="str">
            <v>nein</v>
          </cell>
          <cell r="BG10" t="str">
            <v>nein</v>
          </cell>
          <cell r="BH10" t="str">
            <v>ja</v>
          </cell>
          <cell r="BI10" t="str">
            <v>ja</v>
          </cell>
          <cell r="BJ10" t="str">
            <v>nein</v>
          </cell>
          <cell r="BK10" t="str">
            <v>nein</v>
          </cell>
          <cell r="BL10" t="str">
            <v>ja</v>
          </cell>
          <cell r="BM10" t="str">
            <v>nein</v>
          </cell>
          <cell r="BN10" t="str">
            <v>ja</v>
          </cell>
          <cell r="BO10" t="str">
            <v>ja</v>
          </cell>
          <cell r="BP10" t="str">
            <v>nein</v>
          </cell>
          <cell r="BQ10" t="str">
            <v>ja</v>
          </cell>
          <cell r="BR10" t="str">
            <v>ja</v>
          </cell>
          <cell r="BS10" t="str">
            <v>nein</v>
          </cell>
          <cell r="BT10" t="str">
            <v>ja</v>
          </cell>
          <cell r="BU10" t="str">
            <v>ja</v>
          </cell>
          <cell r="BV10" t="str">
            <v>nein</v>
          </cell>
          <cell r="BW10" t="str">
            <v>nein</v>
          </cell>
          <cell r="BX10" t="str">
            <v>nein</v>
          </cell>
          <cell r="BY10" t="str">
            <v>nein</v>
          </cell>
          <cell r="BZ10" t="str">
            <v>nein</v>
          </cell>
          <cell r="CA10" t="str">
            <v>nein</v>
          </cell>
          <cell r="CB10" t="str">
            <v>ja</v>
          </cell>
          <cell r="CC10" t="str">
            <v>nein</v>
          </cell>
        </row>
        <row r="11">
          <cell r="A11" t="str">
            <v>lang</v>
          </cell>
          <cell r="B11" t="str">
            <v>Sprache (de, fr, it)</v>
          </cell>
          <cell r="C11"/>
          <cell r="D11" t="str">
            <v>de</v>
          </cell>
          <cell r="E11" t="str">
            <v>fr</v>
          </cell>
          <cell r="F11" t="str">
            <v>fr</v>
          </cell>
          <cell r="G11" t="str">
            <v>fr</v>
          </cell>
          <cell r="H11" t="str">
            <v>it</v>
          </cell>
          <cell r="I11" t="str">
            <v>fr</v>
          </cell>
          <cell r="J11" t="str">
            <v>de</v>
          </cell>
          <cell r="K11" t="str">
            <v>de</v>
          </cell>
          <cell r="L11" t="str">
            <v>de</v>
          </cell>
          <cell r="M11" t="str">
            <v>fr</v>
          </cell>
          <cell r="N11" t="str">
            <v>de</v>
          </cell>
          <cell r="O11" t="str">
            <v>de</v>
          </cell>
          <cell r="P11" t="str">
            <v>de</v>
          </cell>
          <cell r="Q11" t="str">
            <v>de</v>
          </cell>
          <cell r="R11" t="str">
            <v>fr</v>
          </cell>
          <cell r="S11" t="str">
            <v>fr</v>
          </cell>
          <cell r="T11" t="str">
            <v>fr</v>
          </cell>
          <cell r="U11" t="str">
            <v>fr</v>
          </cell>
          <cell r="V11" t="str">
            <v>de</v>
          </cell>
          <cell r="W11" t="str">
            <v>it</v>
          </cell>
          <cell r="X11" t="str">
            <v>de</v>
          </cell>
          <cell r="Y11" t="str">
            <v>de</v>
          </cell>
          <cell r="Z11" t="str">
            <v>de</v>
          </cell>
          <cell r="AA11" t="str">
            <v>de</v>
          </cell>
          <cell r="AB11" t="str">
            <v>de</v>
          </cell>
          <cell r="AC11" t="str">
            <v>fr</v>
          </cell>
          <cell r="AD11" t="str">
            <v>de</v>
          </cell>
          <cell r="AE11" t="str">
            <v>de</v>
          </cell>
          <cell r="AF11" t="str">
            <v>de</v>
          </cell>
          <cell r="AG11" t="str">
            <v>de</v>
          </cell>
          <cell r="AH11" t="str">
            <v>de</v>
          </cell>
          <cell r="AI11" t="str">
            <v>de</v>
          </cell>
          <cell r="AJ11" t="str">
            <v>fr</v>
          </cell>
          <cell r="AK11" t="str">
            <v>it</v>
          </cell>
          <cell r="AL11" t="str">
            <v>it</v>
          </cell>
          <cell r="AM11" t="str">
            <v>fr</v>
          </cell>
          <cell r="AN11" t="str">
            <v>fr</v>
          </cell>
          <cell r="AO11" t="str">
            <v>fr</v>
          </cell>
          <cell r="AP11" t="str">
            <v>fr</v>
          </cell>
          <cell r="AQ11" t="str">
            <v>it</v>
          </cell>
          <cell r="AR11" t="str">
            <v>fr</v>
          </cell>
          <cell r="AS11" t="str">
            <v>fr</v>
          </cell>
          <cell r="AT11" t="str">
            <v>fr</v>
          </cell>
          <cell r="AU11" t="str">
            <v>it</v>
          </cell>
          <cell r="AV11" t="str">
            <v>fr</v>
          </cell>
          <cell r="AW11" t="str">
            <v>fr</v>
          </cell>
          <cell r="AX11" t="str">
            <v>fr</v>
          </cell>
          <cell r="AY11" t="str">
            <v>fr</v>
          </cell>
          <cell r="AZ11" t="str">
            <v>de</v>
          </cell>
          <cell r="BA11" t="str">
            <v>de</v>
          </cell>
          <cell r="BB11" t="str">
            <v>de</v>
          </cell>
          <cell r="BC11" t="str">
            <v>de</v>
          </cell>
          <cell r="BD11" t="str">
            <v>de</v>
          </cell>
          <cell r="BE11" t="str">
            <v>it</v>
          </cell>
          <cell r="BF11" t="str">
            <v>de</v>
          </cell>
          <cell r="BG11" t="str">
            <v>fr</v>
          </cell>
          <cell r="BH11" t="str">
            <v>fr</v>
          </cell>
          <cell r="BI11" t="str">
            <v>de</v>
          </cell>
          <cell r="BJ11" t="str">
            <v>de</v>
          </cell>
          <cell r="BK11" t="str">
            <v>de</v>
          </cell>
          <cell r="BL11" t="str">
            <v>fr</v>
          </cell>
          <cell r="BM11" t="str">
            <v>fr</v>
          </cell>
          <cell r="BN11" t="str">
            <v>fr</v>
          </cell>
          <cell r="BO11" t="str">
            <v>fr</v>
          </cell>
          <cell r="BP11" t="str">
            <v>de</v>
          </cell>
          <cell r="BQ11" t="str">
            <v>de</v>
          </cell>
          <cell r="BR11" t="str">
            <v>de</v>
          </cell>
          <cell r="BS11" t="str">
            <v>de</v>
          </cell>
          <cell r="BT11" t="str">
            <v>de</v>
          </cell>
          <cell r="BU11" t="str">
            <v>de</v>
          </cell>
          <cell r="BV11" t="str">
            <v>fr</v>
          </cell>
          <cell r="BW11" t="str">
            <v>de</v>
          </cell>
          <cell r="BX11" t="str">
            <v>de</v>
          </cell>
          <cell r="BY11" t="str">
            <v>de</v>
          </cell>
          <cell r="BZ11" t="str">
            <v>de</v>
          </cell>
          <cell r="CA11" t="str">
            <v>de</v>
          </cell>
          <cell r="CB11" t="str">
            <v>de</v>
          </cell>
          <cell r="CC11" t="str">
            <v>de</v>
          </cell>
        </row>
        <row r="12">
          <cell r="A12" t="str">
            <v>kanton</v>
          </cell>
          <cell r="B12" t="str">
            <v>Kanton Produktion</v>
          </cell>
          <cell r="C12"/>
          <cell r="D12" t="str">
            <v>ZH</v>
          </cell>
          <cell r="E12" t="str">
            <v>GE</v>
          </cell>
          <cell r="F12" t="str">
            <v>VD</v>
          </cell>
          <cell r="G12" t="str">
            <v>VD</v>
          </cell>
          <cell r="H12" t="str">
            <v>TI</v>
          </cell>
          <cell r="I12" t="str">
            <v>GE</v>
          </cell>
          <cell r="J12" t="str">
            <v>TI</v>
          </cell>
          <cell r="K12" t="str">
            <v>BS</v>
          </cell>
          <cell r="L12" t="str">
            <v>ZH</v>
          </cell>
          <cell r="M12" t="str">
            <v>GE</v>
          </cell>
          <cell r="N12" t="str">
            <v>ZH</v>
          </cell>
          <cell r="O12" t="str">
            <v>ZH</v>
          </cell>
          <cell r="P12" t="str">
            <v>BE</v>
          </cell>
          <cell r="Q12" t="str">
            <v>ZH</v>
          </cell>
          <cell r="R12" t="str">
            <v>GE</v>
          </cell>
          <cell r="S12" t="str">
            <v>VD</v>
          </cell>
          <cell r="T12" t="str">
            <v>GE</v>
          </cell>
          <cell r="U12" t="str">
            <v>GE</v>
          </cell>
          <cell r="V12" t="str">
            <v>BE</v>
          </cell>
          <cell r="W12" t="str">
            <v>TI</v>
          </cell>
          <cell r="X12" t="str">
            <v>ZH</v>
          </cell>
          <cell r="Y12" t="str">
            <v>BE</v>
          </cell>
          <cell r="Z12" t="str">
            <v>ZH</v>
          </cell>
          <cell r="AA12" t="str">
            <v>ZH</v>
          </cell>
          <cell r="AB12" t="str">
            <v>ZH</v>
          </cell>
          <cell r="AC12" t="str">
            <v>GE</v>
          </cell>
          <cell r="AD12" t="str">
            <v>ZH</v>
          </cell>
          <cell r="AE12" t="str">
            <v>BS</v>
          </cell>
          <cell r="AF12" t="str">
            <v>ZH</v>
          </cell>
          <cell r="AG12" t="str">
            <v>BE</v>
          </cell>
          <cell r="AH12" t="str">
            <v>ZH</v>
          </cell>
          <cell r="AI12" t="str">
            <v>ZH</v>
          </cell>
          <cell r="AJ12" t="str">
            <v>GE</v>
          </cell>
          <cell r="AK12" t="str">
            <v>TI</v>
          </cell>
          <cell r="AL12" t="str">
            <v>TI</v>
          </cell>
          <cell r="AM12" t="str">
            <v>GE</v>
          </cell>
          <cell r="AN12" t="str">
            <v>GE</v>
          </cell>
          <cell r="AO12" t="str">
            <v>VD</v>
          </cell>
          <cell r="AP12" t="str">
            <v>GE</v>
          </cell>
          <cell r="AQ12" t="str">
            <v>TI</v>
          </cell>
          <cell r="AR12" t="str">
            <v>GE</v>
          </cell>
          <cell r="AS12" t="str">
            <v>FR</v>
          </cell>
          <cell r="AT12" t="str">
            <v>GE</v>
          </cell>
          <cell r="AU12" t="str">
            <v>TI</v>
          </cell>
          <cell r="AV12" t="str">
            <v>VD</v>
          </cell>
          <cell r="AW12" t="str">
            <v>GE</v>
          </cell>
          <cell r="AX12" t="str">
            <v>GE</v>
          </cell>
          <cell r="AY12" t="str">
            <v>GE</v>
          </cell>
          <cell r="AZ12" t="str">
            <v>ZH</v>
          </cell>
          <cell r="BA12" t="str">
            <v>ZH</v>
          </cell>
          <cell r="BB12" t="str">
            <v>ZH</v>
          </cell>
          <cell r="BC12" t="str">
            <v>ZH</v>
          </cell>
          <cell r="BD12" t="str">
            <v>ZH</v>
          </cell>
          <cell r="BE12" t="str">
            <v>TI</v>
          </cell>
          <cell r="BF12" t="str">
            <v>ZH</v>
          </cell>
          <cell r="BG12" t="str">
            <v>GE</v>
          </cell>
          <cell r="BH12" t="str">
            <v>VD</v>
          </cell>
          <cell r="BI12" t="str">
            <v>ZH</v>
          </cell>
          <cell r="BJ12" t="str">
            <v>BE</v>
          </cell>
          <cell r="BK12" t="str">
            <v>ZH</v>
          </cell>
          <cell r="BL12" t="str">
            <v>VD</v>
          </cell>
          <cell r="BM12" t="str">
            <v>GE</v>
          </cell>
          <cell r="BN12" t="str">
            <v>GE</v>
          </cell>
          <cell r="BO12" t="str">
            <v>FR</v>
          </cell>
          <cell r="BP12" t="str">
            <v>ZH</v>
          </cell>
          <cell r="BQ12" t="str">
            <v>ZH</v>
          </cell>
          <cell r="BR12" t="str">
            <v>ZH</v>
          </cell>
          <cell r="BS12" t="str">
            <v>ZH</v>
          </cell>
          <cell r="BT12" t="str">
            <v>BE</v>
          </cell>
          <cell r="BU12" t="str">
            <v>ZH</v>
          </cell>
          <cell r="BV12" t="str">
            <v>VD</v>
          </cell>
          <cell r="BW12" t="str">
            <v>ZH</v>
          </cell>
          <cell r="BX12" t="str">
            <v>ZH</v>
          </cell>
          <cell r="BY12" t="str">
            <v>ZH</v>
          </cell>
          <cell r="BZ12" t="str">
            <v>ZH</v>
          </cell>
          <cell r="CA12" t="str">
            <v>ZH</v>
          </cell>
          <cell r="CB12" t="str">
            <v>BS</v>
          </cell>
          <cell r="CC12" t="str">
            <v>ZH</v>
          </cell>
        </row>
        <row r="13">
          <cell r="A13" t="str">
            <v>yearprod</v>
          </cell>
          <cell r="B13" t="str">
            <v>Herstellungsjahr</v>
          </cell>
          <cell r="C13"/>
          <cell r="D13">
            <v>2017</v>
          </cell>
          <cell r="E13">
            <v>2017</v>
          </cell>
          <cell r="F13">
            <v>2017</v>
          </cell>
          <cell r="G13">
            <v>2017</v>
          </cell>
          <cell r="H13">
            <v>2017</v>
          </cell>
          <cell r="I13">
            <v>2017</v>
          </cell>
          <cell r="J13">
            <v>2017</v>
          </cell>
          <cell r="K13">
            <v>2017</v>
          </cell>
          <cell r="L13">
            <v>2017</v>
          </cell>
          <cell r="M13">
            <v>2017</v>
          </cell>
          <cell r="N13">
            <v>2017</v>
          </cell>
          <cell r="O13">
            <v>2017</v>
          </cell>
          <cell r="P13">
            <v>2017</v>
          </cell>
          <cell r="Q13">
            <v>2017</v>
          </cell>
          <cell r="R13">
            <v>2017</v>
          </cell>
          <cell r="S13">
            <v>2017</v>
          </cell>
          <cell r="T13">
            <v>2017</v>
          </cell>
          <cell r="U13">
            <v>2017</v>
          </cell>
          <cell r="V13">
            <v>2017</v>
          </cell>
          <cell r="W13">
            <v>2017</v>
          </cell>
          <cell r="X13">
            <v>2017</v>
          </cell>
          <cell r="Y13">
            <v>2017</v>
          </cell>
          <cell r="Z13">
            <v>2017</v>
          </cell>
          <cell r="AA13">
            <v>2017</v>
          </cell>
          <cell r="AB13">
            <v>2017</v>
          </cell>
          <cell r="AC13">
            <v>2017</v>
          </cell>
          <cell r="AD13">
            <v>2017</v>
          </cell>
          <cell r="AE13">
            <v>2017</v>
          </cell>
          <cell r="AF13">
            <v>2017</v>
          </cell>
          <cell r="AG13">
            <v>2017</v>
          </cell>
          <cell r="AH13">
            <v>2017</v>
          </cell>
          <cell r="AI13">
            <v>2017</v>
          </cell>
          <cell r="AJ13">
            <v>2017</v>
          </cell>
          <cell r="AK13">
            <v>2017</v>
          </cell>
          <cell r="AL13">
            <v>2017</v>
          </cell>
          <cell r="AM13">
            <v>2017</v>
          </cell>
          <cell r="AN13">
            <v>2017</v>
          </cell>
          <cell r="AO13">
            <v>2017</v>
          </cell>
          <cell r="AP13">
            <v>2017</v>
          </cell>
          <cell r="AQ13">
            <v>2017</v>
          </cell>
          <cell r="AR13">
            <v>2017</v>
          </cell>
          <cell r="AS13">
            <v>2017</v>
          </cell>
          <cell r="AT13">
            <v>2017</v>
          </cell>
          <cell r="AU13">
            <v>2017</v>
          </cell>
          <cell r="AV13">
            <v>2017</v>
          </cell>
          <cell r="AW13">
            <v>2017</v>
          </cell>
          <cell r="AX13">
            <v>2017</v>
          </cell>
          <cell r="AY13">
            <v>2017</v>
          </cell>
          <cell r="AZ13">
            <v>2017</v>
          </cell>
          <cell r="BA13">
            <v>2017</v>
          </cell>
          <cell r="BB13">
            <v>2017</v>
          </cell>
          <cell r="BC13">
            <v>2017</v>
          </cell>
          <cell r="BD13">
            <v>2017</v>
          </cell>
          <cell r="BE13">
            <v>2017</v>
          </cell>
          <cell r="BF13">
            <v>2017</v>
          </cell>
          <cell r="BG13">
            <v>2017</v>
          </cell>
          <cell r="BH13">
            <v>2017</v>
          </cell>
          <cell r="BI13">
            <v>2017</v>
          </cell>
          <cell r="BJ13">
            <v>2017</v>
          </cell>
          <cell r="BK13">
            <v>2017</v>
          </cell>
          <cell r="BL13">
            <v>2017</v>
          </cell>
          <cell r="BM13">
            <v>2017</v>
          </cell>
          <cell r="BN13">
            <v>2017</v>
          </cell>
          <cell r="BO13">
            <v>2017</v>
          </cell>
          <cell r="BP13">
            <v>2017</v>
          </cell>
          <cell r="BQ13">
            <v>2017</v>
          </cell>
          <cell r="BR13">
            <v>2017</v>
          </cell>
          <cell r="BS13">
            <v>2017</v>
          </cell>
          <cell r="BT13">
            <v>2017</v>
          </cell>
          <cell r="BU13">
            <v>2017</v>
          </cell>
          <cell r="BV13">
            <v>2017</v>
          </cell>
          <cell r="BW13">
            <v>2017</v>
          </cell>
          <cell r="BX13">
            <v>2017</v>
          </cell>
          <cell r="BY13">
            <v>2017</v>
          </cell>
          <cell r="BZ13">
            <v>2017</v>
          </cell>
          <cell r="CA13">
            <v>2017</v>
          </cell>
          <cell r="CB13">
            <v>2017</v>
          </cell>
          <cell r="CC13">
            <v>2017</v>
          </cell>
        </row>
        <row r="14">
          <cell r="A14" t="str">
            <v>yearrelease</v>
          </cell>
          <cell r="B14" t="str">
            <v>Auswertungsjahr</v>
          </cell>
          <cell r="C14"/>
          <cell r="D14">
            <v>2018</v>
          </cell>
          <cell r="E14">
            <v>2018</v>
          </cell>
          <cell r="F14">
            <v>2017</v>
          </cell>
          <cell r="G14">
            <v>2018</v>
          </cell>
          <cell r="H14">
            <v>2018</v>
          </cell>
          <cell r="I14">
            <v>2018</v>
          </cell>
          <cell r="J14">
            <v>2019</v>
          </cell>
          <cell r="K14">
            <v>2018</v>
          </cell>
          <cell r="L14">
            <v>2019</v>
          </cell>
          <cell r="M14">
            <v>2017</v>
          </cell>
          <cell r="N14">
            <v>2019</v>
          </cell>
          <cell r="O14">
            <v>2018</v>
          </cell>
          <cell r="P14"/>
          <cell r="Q14">
            <v>2019</v>
          </cell>
          <cell r="R14"/>
          <cell r="S14">
            <v>2018</v>
          </cell>
          <cell r="T14">
            <v>2018</v>
          </cell>
          <cell r="U14">
            <v>2019</v>
          </cell>
          <cell r="V14">
            <v>2020</v>
          </cell>
          <cell r="W14">
            <v>2019</v>
          </cell>
          <cell r="X14">
            <v>2018</v>
          </cell>
          <cell r="Y14">
            <v>2018</v>
          </cell>
          <cell r="Z14">
            <v>2017</v>
          </cell>
          <cell r="AA14"/>
          <cell r="AB14">
            <v>2018</v>
          </cell>
          <cell r="AC14">
            <v>2019</v>
          </cell>
          <cell r="AD14">
            <v>2022</v>
          </cell>
          <cell r="AE14">
            <v>2017</v>
          </cell>
          <cell r="AF14"/>
          <cell r="AG14">
            <v>2019</v>
          </cell>
          <cell r="AH14">
            <v>2019</v>
          </cell>
          <cell r="AI14">
            <v>2019</v>
          </cell>
          <cell r="AJ14">
            <v>2019</v>
          </cell>
          <cell r="AK14">
            <v>2017</v>
          </cell>
          <cell r="AL14">
            <v>2017</v>
          </cell>
          <cell r="AM14">
            <v>2018</v>
          </cell>
          <cell r="AN14">
            <v>2019</v>
          </cell>
          <cell r="AO14">
            <v>2019</v>
          </cell>
          <cell r="AP14">
            <v>2019</v>
          </cell>
          <cell r="AQ14">
            <v>2018</v>
          </cell>
          <cell r="AR14">
            <v>2019</v>
          </cell>
          <cell r="AS14">
            <v>2018</v>
          </cell>
          <cell r="AT14">
            <v>2020</v>
          </cell>
          <cell r="AU14">
            <v>2018</v>
          </cell>
          <cell r="AV14">
            <v>2017</v>
          </cell>
          <cell r="AW14">
            <v>2018</v>
          </cell>
          <cell r="AX14">
            <v>2019</v>
          </cell>
          <cell r="AY14">
            <v>2017</v>
          </cell>
          <cell r="AZ14">
            <v>2018</v>
          </cell>
          <cell r="BA14">
            <v>2019</v>
          </cell>
          <cell r="BB14">
            <v>2018</v>
          </cell>
          <cell r="BC14">
            <v>2019</v>
          </cell>
          <cell r="BD14">
            <v>2019</v>
          </cell>
          <cell r="BE14">
            <v>2019</v>
          </cell>
          <cell r="BF14">
            <v>2021</v>
          </cell>
          <cell r="BG14"/>
          <cell r="BH14">
            <v>2020</v>
          </cell>
          <cell r="BI14">
            <v>2018</v>
          </cell>
          <cell r="BJ14">
            <v>2022</v>
          </cell>
          <cell r="BK14">
            <v>2019</v>
          </cell>
          <cell r="BL14">
            <v>2019</v>
          </cell>
          <cell r="BM14">
            <v>2017</v>
          </cell>
          <cell r="BN14">
            <v>2017</v>
          </cell>
          <cell r="BO14">
            <v>2019</v>
          </cell>
          <cell r="BP14">
            <v>2018</v>
          </cell>
          <cell r="BQ14">
            <v>2021</v>
          </cell>
          <cell r="BR14">
            <v>2018</v>
          </cell>
          <cell r="BS14"/>
          <cell r="BT14"/>
          <cell r="BU14">
            <v>2018</v>
          </cell>
          <cell r="BV14">
            <v>2018</v>
          </cell>
          <cell r="BW14"/>
          <cell r="BX14">
            <v>2018</v>
          </cell>
          <cell r="BY14">
            <v>2018</v>
          </cell>
          <cell r="BZ14">
            <v>2018</v>
          </cell>
          <cell r="CA14">
            <v>2020</v>
          </cell>
          <cell r="CB14">
            <v>2020</v>
          </cell>
          <cell r="CC14">
            <v>2019</v>
          </cell>
        </row>
        <row r="15">
          <cell r="A15" t="str">
            <v>produktion</v>
          </cell>
          <cell r="B15" t="str">
            <v>Produktion</v>
          </cell>
          <cell r="C15"/>
          <cell r="D15" t="str">
            <v>Mons Veneris Films GmbH</v>
          </cell>
          <cell r="E15" t="str">
            <v>Beauvoir Sàrl</v>
          </cell>
          <cell r="F15" t="str">
            <v>Zooscope Production</v>
          </cell>
          <cell r="G15" t="str">
            <v>Le Dzé</v>
          </cell>
          <cell r="H15" t="str">
            <v>Pic-Film SA</v>
          </cell>
          <cell r="I15" t="str">
            <v>TIPI'MAGES PRODUCTIONS Sàrl</v>
          </cell>
          <cell r="J15" t="str">
            <v>Ventura Film SA</v>
          </cell>
          <cell r="K15" t="str">
            <v>Freihändler Filmproduktion GmbH</v>
          </cell>
          <cell r="L15" t="str">
            <v>Maximage</v>
          </cell>
          <cell r="M15" t="str">
            <v>Intermezzo Films SA</v>
          </cell>
          <cell r="N15" t="str">
            <v>Dschoint Ventschr Filmproduktion AG</v>
          </cell>
          <cell r="O15" t="str">
            <v>Maximage</v>
          </cell>
          <cell r="P15" t="str">
            <v>Biograph Film</v>
          </cell>
          <cell r="Q15" t="str">
            <v>A Film Company GmbH</v>
          </cell>
          <cell r="R15" t="str">
            <v>POINT PROD' SA</v>
          </cell>
          <cell r="S15" t="str">
            <v>Box Productions Sàrl</v>
          </cell>
          <cell r="T15" t="str">
            <v>Elefant Films Sàrl</v>
          </cell>
          <cell r="U15" t="str">
            <v>Beauvoir Sàrl</v>
          </cell>
          <cell r="V15" t="str">
            <v>Recycled TV AG</v>
          </cell>
          <cell r="W15" t="str">
            <v>Imago Film SA</v>
          </cell>
          <cell r="X15" t="str">
            <v>Mira Film GmbH</v>
          </cell>
          <cell r="Y15" t="str">
            <v>hiddenframe GmbH</v>
          </cell>
          <cell r="Z15" t="str">
            <v>Bernard Lang AG Film- und Fernsehproduktion</v>
          </cell>
          <cell r="AA15" t="str">
            <v>Mira Film GmbH</v>
          </cell>
          <cell r="AB15" t="str">
            <v>8horses GmbH</v>
          </cell>
          <cell r="AC15" t="str">
            <v>Intermezzo Films SA</v>
          </cell>
          <cell r="AD15" t="str">
            <v>Dschoint Ventschr Filmproduktion AG</v>
          </cell>
          <cell r="AE15" t="str">
            <v>Individuofilm</v>
          </cell>
          <cell r="AF15" t="str">
            <v>Catpics AG</v>
          </cell>
          <cell r="AG15" t="str">
            <v>Trinipix GmbH</v>
          </cell>
          <cell r="AH15" t="str">
            <v>RECK Filmproduktion GmbH</v>
          </cell>
          <cell r="AI15" t="str">
            <v>Tilt Production GmbH</v>
          </cell>
          <cell r="AJ15" t="str">
            <v>Intermezzo Films SA</v>
          </cell>
          <cell r="AK15" t="str">
            <v>Inmagine SA</v>
          </cell>
          <cell r="AL15" t="str">
            <v>Amka Films Productions SA</v>
          </cell>
          <cell r="AM15" t="str">
            <v>Alinafilm Sàrl</v>
          </cell>
          <cell r="AN15" t="str">
            <v>Bohemian Films</v>
          </cell>
          <cell r="AO15" t="str">
            <v>Climage</v>
          </cell>
          <cell r="AP15" t="str">
            <v>AKKA Films Sàrl</v>
          </cell>
          <cell r="AQ15" t="str">
            <v>Cinédokké Sagl</v>
          </cell>
          <cell r="AR15" t="str">
            <v>Freshprod</v>
          </cell>
          <cell r="AS15" t="str">
            <v>P.S. Productions Sàrl</v>
          </cell>
          <cell r="AT15" t="str">
            <v>Intermezzo Films SA</v>
          </cell>
          <cell r="AU15" t="str">
            <v>Amka Films Productions SA</v>
          </cell>
          <cell r="AV15" t="str">
            <v>Bande à part Films Sàrl</v>
          </cell>
          <cell r="AW15" t="str">
            <v>Rita Productions</v>
          </cell>
          <cell r="AX15" t="str">
            <v>Adokfilms sàrl</v>
          </cell>
          <cell r="AY15" t="str">
            <v>Artemis Film Productions</v>
          </cell>
          <cell r="AZ15" t="str">
            <v>Motorfilm GmbH</v>
          </cell>
          <cell r="BA15" t="str">
            <v>Giancarlo Moos Photography &amp; Film</v>
          </cell>
          <cell r="BB15" t="str">
            <v>Triluna Film AG</v>
          </cell>
          <cell r="BC15" t="str">
            <v>Mira Film GmbH</v>
          </cell>
          <cell r="BD15" t="str">
            <v>Cineworx Filmproduktion GmbH</v>
          </cell>
          <cell r="BE15" t="str">
            <v>Ventura Film SA</v>
          </cell>
          <cell r="BF15" t="str">
            <v>Okofilm Productions GmbH</v>
          </cell>
          <cell r="BG15" t="str">
            <v>Alinafilm Sàrl</v>
          </cell>
          <cell r="BH15" t="str">
            <v>Thera Production Sàrl</v>
          </cell>
          <cell r="BI15" t="str">
            <v>Hesse Film GmbH</v>
          </cell>
          <cell r="BJ15" t="str">
            <v>Recycled TV AG</v>
          </cell>
          <cell r="BK15" t="str">
            <v>Kosmos Film GmbH</v>
          </cell>
          <cell r="BL15" t="str">
            <v>Bande à part Films Sàrl</v>
          </cell>
          <cell r="BM15" t="str">
            <v>Troubadour Films</v>
          </cell>
          <cell r="BN15" t="str">
            <v>IDIP Films Sàrl</v>
          </cell>
          <cell r="BO15" t="str">
            <v>P.S. Productions Sàrl</v>
          </cell>
          <cell r="BP15" t="str">
            <v>Riniker Communications GmbH</v>
          </cell>
          <cell r="BQ15" t="str">
            <v>Hesse Film GmbH</v>
          </cell>
          <cell r="BR15" t="str">
            <v>Bernard Lang AG Film- und Fernsehproduktion</v>
          </cell>
          <cell r="BS15" t="str">
            <v>Mira Film GmbH</v>
          </cell>
          <cell r="BT15" t="str">
            <v>Ojalà-film borter</v>
          </cell>
          <cell r="BU15" t="str">
            <v>cR Lichtspiele GmbH</v>
          </cell>
          <cell r="BV15" t="str">
            <v>Louise Productions Lausanne</v>
          </cell>
          <cell r="BW15" t="str">
            <v>Leafbird Films GmbH</v>
          </cell>
          <cell r="BX15" t="str">
            <v>Gachot Films</v>
          </cell>
          <cell r="BY15" t="str">
            <v>Turnus Film AG</v>
          </cell>
          <cell r="BZ15" t="str">
            <v>ABRAKADABRA FILMS AG</v>
          </cell>
          <cell r="CA15" t="str">
            <v>Fontana Film GmbH</v>
          </cell>
          <cell r="CB15" t="str">
            <v>Sulaco Film GmbH</v>
          </cell>
          <cell r="CC15" t="str">
            <v>C-FILMS AG</v>
          </cell>
        </row>
        <row r="16">
          <cell r="A16" t="str">
            <v>regie</v>
          </cell>
          <cell r="B16" t="str">
            <v>Regie</v>
          </cell>
          <cell r="C16"/>
          <cell r="D16" t="str">
            <v>Barbara Miller</v>
          </cell>
          <cell r="E16" t="str">
            <v>Samara Grace Chadwick</v>
          </cell>
          <cell r="F16" t="str">
            <v>Lionel Rupp</v>
          </cell>
          <cell r="G16" t="str">
            <v>Fernand Melgar</v>
          </cell>
          <cell r="H16" t="str">
            <v>Elvira Dones</v>
          </cell>
          <cell r="I16" t="str">
            <v>Jean-Cosme Delaloye</v>
          </cell>
          <cell r="J16" t="str">
            <v>Martin Witz</v>
          </cell>
          <cell r="K16" t="str">
            <v>Nathalie Oestreicher</v>
          </cell>
          <cell r="L16" t="str">
            <v>Christoph Schaub</v>
          </cell>
          <cell r="M16" t="str">
            <v>Maryam Goormaghtigh</v>
          </cell>
          <cell r="N16" t="str">
            <v>Samir</v>
          </cell>
          <cell r="O16" t="str">
            <v>Peter Mettler</v>
          </cell>
          <cell r="P16" t="str">
            <v>Norbert Wiedmer</v>
          </cell>
          <cell r="Q16" t="str">
            <v>Niklaus Hilber</v>
          </cell>
          <cell r="R16" t="str">
            <v>Virginie Gourmel</v>
          </cell>
          <cell r="S16" t="str">
            <v>Antoine Russbach</v>
          </cell>
          <cell r="T16" t="str">
            <v>Fausta Quattrini</v>
          </cell>
          <cell r="U16" t="str">
            <v>Nicole Vögele</v>
          </cell>
          <cell r="V16" t="str">
            <v>Madeleine Corbat</v>
          </cell>
          <cell r="W16" t="str">
            <v>Francesco Rizzi</v>
          </cell>
          <cell r="X16" t="str">
            <v>Sophie Huber</v>
          </cell>
          <cell r="Y16" t="str">
            <v>Gregor Frei</v>
          </cell>
          <cell r="Z16" t="str">
            <v>Jann Preuss</v>
          </cell>
          <cell r="AA16" t="str">
            <v>Vadim Jendreyko</v>
          </cell>
          <cell r="AB16" t="str">
            <v>Simon Jaquemet</v>
          </cell>
          <cell r="AC16" t="str">
            <v>Frédéric Choffat, Julie Gilbert</v>
          </cell>
          <cell r="AD16" t="str">
            <v>Corina Schwingruber Illic, Nikola Ilic</v>
          </cell>
          <cell r="AE16" t="str">
            <v xml:space="preserve">Steffi Giaracuni </v>
          </cell>
          <cell r="AF16" t="str">
            <v>Piet Baumgartner</v>
          </cell>
          <cell r="AG16" t="str">
            <v>Nick Aron Fabian</v>
          </cell>
          <cell r="AH16" t="str">
            <v>Nino Jacusso</v>
          </cell>
          <cell r="AI16" t="str">
            <v>Jeshua Dreyfus</v>
          </cell>
          <cell r="AJ16" t="str">
            <v xml:space="preserve">Anne-Frédérique Widmann </v>
          </cell>
          <cell r="AK16" t="str">
            <v>Alberto Meroni</v>
          </cell>
          <cell r="AL16" t="str">
            <v>Kevin Merz</v>
          </cell>
          <cell r="AM16" t="str">
            <v xml:space="preserve">Elene Naveriani </v>
          </cell>
          <cell r="AN16" t="str">
            <v>Fernando Peretz, Laura Cazador</v>
          </cell>
          <cell r="AO16" t="str">
            <v>Stéphane Goël</v>
          </cell>
          <cell r="AP16" t="str">
            <v>Nicolas Wadimoff</v>
          </cell>
          <cell r="AQ16" t="str">
            <v>Duccio Chiarini</v>
          </cell>
          <cell r="AR16" t="str">
            <v>Frédéric Baillif</v>
          </cell>
          <cell r="AS16" t="str">
            <v>Francis Reusser</v>
          </cell>
          <cell r="AT16" t="str">
            <v>Julia Bünter</v>
          </cell>
          <cell r="AU16" t="str">
            <v>Alice Rohrwacher</v>
          </cell>
          <cell r="AV16" t="str">
            <v>Barbet Schroeder</v>
          </cell>
          <cell r="AW16" t="str">
            <v>Bettina Oberli</v>
          </cell>
          <cell r="AX16" t="str">
            <v>Bing Wang</v>
          </cell>
          <cell r="AY16" t="str">
            <v>Raphaël Blanc</v>
          </cell>
          <cell r="AZ16" t="str">
            <v>Oliver Paulus, Stefan Hillebrand</v>
          </cell>
          <cell r="BA16" t="str">
            <v>Giancarlo Moos</v>
          </cell>
          <cell r="BB16" t="str">
            <v>Marcel Gisler</v>
          </cell>
          <cell r="BC16" t="str">
            <v>Jürgen Brügger, Jörg Haassengier</v>
          </cell>
          <cell r="BD16" t="str">
            <v>Janos Tedeschi, Christof Schäfer</v>
          </cell>
          <cell r="BE16" t="str">
            <v>Erik Bernasconi</v>
          </cell>
          <cell r="BF16" t="str">
            <v>Thomas Imbach</v>
          </cell>
          <cell r="BG16" t="str">
            <v>Sylvain George</v>
          </cell>
          <cell r="BH16" t="str">
            <v>Basil da Cunha</v>
          </cell>
          <cell r="BI16" t="str">
            <v>Batbayar Chogsom</v>
          </cell>
          <cell r="BJ16" t="str">
            <v>Frank Matter</v>
          </cell>
          <cell r="BK16" t="str">
            <v xml:space="preserve">Christian Labhart </v>
          </cell>
          <cell r="BL16" t="str">
            <v>Elsa Amiel</v>
          </cell>
          <cell r="BM16" t="str">
            <v>Béatrice Bakhti</v>
          </cell>
          <cell r="BN16" t="str">
            <v xml:space="preserve">Gabriel Tejedor </v>
          </cell>
          <cell r="BO16" t="str">
            <v>Thomas Wüthrich, Sonia Zoran</v>
          </cell>
          <cell r="BP16" t="str">
            <v>Felix von Muralt</v>
          </cell>
          <cell r="BQ16" t="str">
            <v>Lorenz Merz</v>
          </cell>
          <cell r="BR16" t="str">
            <v>Lorenz Suter</v>
          </cell>
          <cell r="BS16" t="str">
            <v>Vadim Jendreyko</v>
          </cell>
          <cell r="BT16" t="str">
            <v>Beat Borter</v>
          </cell>
          <cell r="BU16" t="str">
            <v>Alan Smithee</v>
          </cell>
          <cell r="BV16" t="str">
            <v>Mohcine Besri</v>
          </cell>
          <cell r="BW16" t="str">
            <v>Farida Pacha</v>
          </cell>
          <cell r="BX16" t="str">
            <v>Georges Gachot</v>
          </cell>
          <cell r="BY16" t="str">
            <v>Michael Steiner</v>
          </cell>
          <cell r="BZ16" t="str">
            <v>Cihan Inan</v>
          </cell>
          <cell r="CA16" t="str">
            <v>Stefan Haupt</v>
          </cell>
          <cell r="CB16" t="str">
            <v>Anna Thommen</v>
          </cell>
          <cell r="CC16" t="str">
            <v>Stefan Haupt</v>
          </cell>
        </row>
        <row r="17">
          <cell r="A17" t="str">
            <v>budget</v>
          </cell>
          <cell r="B17" t="str">
            <v>Gesamtkosten</v>
          </cell>
          <cell r="C17">
            <v>89785327</v>
          </cell>
          <cell r="D17">
            <v>1076090</v>
          </cell>
          <cell r="E17">
            <v>269238</v>
          </cell>
          <cell r="F17">
            <v>142066</v>
          </cell>
          <cell r="G17">
            <v>892388</v>
          </cell>
          <cell r="H17">
            <v>186631</v>
          </cell>
          <cell r="I17">
            <v>350397</v>
          </cell>
          <cell r="J17">
            <v>889687</v>
          </cell>
          <cell r="K17">
            <v>557669</v>
          </cell>
          <cell r="L17">
            <v>798019</v>
          </cell>
          <cell r="M17">
            <v>496800</v>
          </cell>
          <cell r="N17">
            <v>4521289</v>
          </cell>
          <cell r="O17">
            <v>531632</v>
          </cell>
          <cell r="P17">
            <v>518892</v>
          </cell>
          <cell r="Q17">
            <v>4993416</v>
          </cell>
          <cell r="R17">
            <v>1637674</v>
          </cell>
          <cell r="S17">
            <v>2812773</v>
          </cell>
          <cell r="T17">
            <v>462500</v>
          </cell>
          <cell r="U17">
            <v>294829</v>
          </cell>
          <cell r="V17">
            <v>710042</v>
          </cell>
          <cell r="W17">
            <v>1726316</v>
          </cell>
          <cell r="X17">
            <v>882228</v>
          </cell>
          <cell r="Y17">
            <v>197933</v>
          </cell>
          <cell r="Z17">
            <v>1478942</v>
          </cell>
          <cell r="AA17">
            <v>366460</v>
          </cell>
          <cell r="AB17">
            <v>2843509</v>
          </cell>
          <cell r="AC17">
            <v>2200444</v>
          </cell>
          <cell r="AD17">
            <v>482701</v>
          </cell>
          <cell r="AE17">
            <v>99258</v>
          </cell>
          <cell r="AF17">
            <v>824813</v>
          </cell>
          <cell r="AG17">
            <v>361393</v>
          </cell>
          <cell r="AH17">
            <v>681924</v>
          </cell>
          <cell r="AI17">
            <v>1687509</v>
          </cell>
          <cell r="AJ17">
            <v>579658</v>
          </cell>
          <cell r="AK17">
            <v>717984</v>
          </cell>
          <cell r="AL17">
            <v>687312</v>
          </cell>
          <cell r="AM17">
            <v>236677</v>
          </cell>
          <cell r="AN17">
            <v>1685796</v>
          </cell>
          <cell r="AO17">
            <v>634156</v>
          </cell>
          <cell r="AP17">
            <v>584468</v>
          </cell>
          <cell r="AQ17">
            <v>1387490</v>
          </cell>
          <cell r="AR17">
            <v>470890</v>
          </cell>
          <cell r="AS17">
            <v>298507</v>
          </cell>
          <cell r="AT17">
            <v>397668</v>
          </cell>
          <cell r="AU17">
            <v>4997723</v>
          </cell>
          <cell r="AV17">
            <v>1079143</v>
          </cell>
          <cell r="AW17">
            <v>4783224</v>
          </cell>
          <cell r="AX17">
            <v>833366</v>
          </cell>
          <cell r="AY17">
            <v>75000</v>
          </cell>
          <cell r="AZ17">
            <v>707793</v>
          </cell>
          <cell r="BA17">
            <v>125000</v>
          </cell>
          <cell r="BB17">
            <v>3473010</v>
          </cell>
          <cell r="BC17">
            <v>585561</v>
          </cell>
          <cell r="BD17">
            <v>613811</v>
          </cell>
          <cell r="BE17">
            <v>688472</v>
          </cell>
          <cell r="BF17">
            <v>794490</v>
          </cell>
          <cell r="BG17">
            <v>208605</v>
          </cell>
          <cell r="BH17">
            <v>1511315</v>
          </cell>
          <cell r="BI17">
            <v>521470</v>
          </cell>
          <cell r="BJ17">
            <v>756034</v>
          </cell>
          <cell r="BK17">
            <v>720124</v>
          </cell>
          <cell r="BL17">
            <v>2626133</v>
          </cell>
          <cell r="BM17">
            <v>462434</v>
          </cell>
          <cell r="BN17">
            <v>188473</v>
          </cell>
          <cell r="BO17">
            <v>245170</v>
          </cell>
          <cell r="BP17">
            <v>251676</v>
          </cell>
          <cell r="BQ17">
            <v>2773296</v>
          </cell>
          <cell r="BR17">
            <v>214891</v>
          </cell>
          <cell r="BS17">
            <v>846575</v>
          </cell>
          <cell r="BT17">
            <v>139300</v>
          </cell>
          <cell r="BU17">
            <v>450689</v>
          </cell>
          <cell r="BV17">
            <v>2157122</v>
          </cell>
          <cell r="BW17">
            <v>335531</v>
          </cell>
          <cell r="BX17">
            <v>911243</v>
          </cell>
          <cell r="BY17">
            <v>3857746</v>
          </cell>
          <cell r="BZ17">
            <v>1401535</v>
          </cell>
          <cell r="CA17">
            <v>584680</v>
          </cell>
          <cell r="CB17">
            <v>551319</v>
          </cell>
          <cell r="CC17">
            <v>5657305</v>
          </cell>
        </row>
        <row r="18">
          <cell r="A18" t="str">
            <v>k</v>
          </cell>
          <cell r="B18" t="str">
            <v>Kontrolle</v>
          </cell>
          <cell r="C18"/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50000</v>
          </cell>
          <cell r="AG18"/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</row>
        <row r="19">
          <cell r="A19" t="str">
            <v>chbudget</v>
          </cell>
          <cell r="B19" t="str">
            <v>Schweiz CHF</v>
          </cell>
          <cell r="C19">
            <v>72042734</v>
          </cell>
          <cell r="D19">
            <v>853376</v>
          </cell>
          <cell r="E19">
            <v>81447</v>
          </cell>
          <cell r="F19">
            <v>142066</v>
          </cell>
          <cell r="G19">
            <v>892388</v>
          </cell>
          <cell r="H19">
            <v>186631</v>
          </cell>
          <cell r="I19">
            <v>350397</v>
          </cell>
          <cell r="J19">
            <v>889687</v>
          </cell>
          <cell r="K19">
            <v>557669</v>
          </cell>
          <cell r="L19">
            <v>798019</v>
          </cell>
          <cell r="M19">
            <v>248400</v>
          </cell>
          <cell r="N19">
            <v>2996477</v>
          </cell>
          <cell r="O19">
            <v>340694</v>
          </cell>
          <cell r="P19">
            <v>518892</v>
          </cell>
          <cell r="Q19">
            <v>4393416</v>
          </cell>
          <cell r="R19">
            <v>326031</v>
          </cell>
          <cell r="S19">
            <v>2392968</v>
          </cell>
          <cell r="T19">
            <v>189500</v>
          </cell>
          <cell r="U19">
            <v>147415</v>
          </cell>
          <cell r="V19">
            <v>710042</v>
          </cell>
          <cell r="W19">
            <v>1726316</v>
          </cell>
          <cell r="X19">
            <v>882228</v>
          </cell>
          <cell r="Y19">
            <v>197933</v>
          </cell>
          <cell r="Z19">
            <v>1478942</v>
          </cell>
          <cell r="AA19">
            <v>90400</v>
          </cell>
          <cell r="AB19">
            <v>2195528</v>
          </cell>
          <cell r="AC19">
            <v>1982444</v>
          </cell>
          <cell r="AD19">
            <v>482701</v>
          </cell>
          <cell r="AE19">
            <v>99258</v>
          </cell>
          <cell r="AF19">
            <v>774813</v>
          </cell>
          <cell r="AG19">
            <v>208393</v>
          </cell>
          <cell r="AH19">
            <v>681924</v>
          </cell>
          <cell r="AI19">
            <v>1687509</v>
          </cell>
          <cell r="AJ19">
            <v>579658</v>
          </cell>
          <cell r="AK19">
            <v>717984</v>
          </cell>
          <cell r="AL19">
            <v>687348</v>
          </cell>
          <cell r="AM19">
            <v>236677</v>
          </cell>
          <cell r="AN19">
            <v>1685796</v>
          </cell>
          <cell r="AO19">
            <v>634156</v>
          </cell>
          <cell r="AP19">
            <v>277969</v>
          </cell>
          <cell r="AQ19">
            <v>360748</v>
          </cell>
          <cell r="AR19">
            <v>470890</v>
          </cell>
          <cell r="AS19">
            <v>298507</v>
          </cell>
          <cell r="AT19">
            <v>397668</v>
          </cell>
          <cell r="AU19">
            <v>499774</v>
          </cell>
          <cell r="AV19">
            <v>209000</v>
          </cell>
          <cell r="AW19">
            <v>3624701</v>
          </cell>
          <cell r="AX19">
            <v>102250</v>
          </cell>
          <cell r="AY19">
            <v>75000</v>
          </cell>
          <cell r="AZ19">
            <v>373988</v>
          </cell>
          <cell r="BA19">
            <v>125000</v>
          </cell>
          <cell r="BB19">
            <v>3473010</v>
          </cell>
          <cell r="BC19">
            <v>160449</v>
          </cell>
          <cell r="BD19">
            <v>531689</v>
          </cell>
          <cell r="BE19">
            <v>688472</v>
          </cell>
          <cell r="BF19">
            <v>794490</v>
          </cell>
          <cell r="BG19">
            <v>73899</v>
          </cell>
          <cell r="BH19">
            <v>1511315</v>
          </cell>
          <cell r="BI19">
            <v>521470</v>
          </cell>
          <cell r="BJ19">
            <v>756034</v>
          </cell>
          <cell r="BK19">
            <v>720124</v>
          </cell>
          <cell r="BL19">
            <v>972057</v>
          </cell>
          <cell r="BM19">
            <v>462434</v>
          </cell>
          <cell r="BN19">
            <v>188473</v>
          </cell>
          <cell r="BO19">
            <v>245170</v>
          </cell>
          <cell r="BP19">
            <v>251678</v>
          </cell>
          <cell r="BQ19">
            <v>2773297</v>
          </cell>
          <cell r="BR19">
            <v>214891</v>
          </cell>
          <cell r="BS19">
            <v>846545</v>
          </cell>
          <cell r="BT19">
            <v>139300</v>
          </cell>
          <cell r="BU19">
            <v>450689</v>
          </cell>
          <cell r="BV19">
            <v>1754939</v>
          </cell>
          <cell r="BW19">
            <v>250155</v>
          </cell>
          <cell r="BX19">
            <v>527129</v>
          </cell>
          <cell r="BY19">
            <v>3414318</v>
          </cell>
          <cell r="BZ19">
            <v>1401535</v>
          </cell>
          <cell r="CA19">
            <v>584680</v>
          </cell>
          <cell r="CB19">
            <v>551319</v>
          </cell>
          <cell r="CC19">
            <v>4597344</v>
          </cell>
        </row>
        <row r="20">
          <cell r="A20"/>
          <cell r="B20" t="str">
            <v>%</v>
          </cell>
          <cell r="C20">
            <v>0.80238872438477615</v>
          </cell>
          <cell r="D20">
            <v>0.79303403990372556</v>
          </cell>
          <cell r="E20">
            <v>0.30250930403583448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0.5</v>
          </cell>
          <cell r="N20">
            <v>0.66274838878912634</v>
          </cell>
          <cell r="O20">
            <v>0.64084554729587384</v>
          </cell>
          <cell r="P20">
            <v>1</v>
          </cell>
          <cell r="Q20">
            <v>0.87984177565017618</v>
          </cell>
          <cell r="R20">
            <v>0.19908174642816581</v>
          </cell>
          <cell r="S20">
            <v>0.85075048715271373</v>
          </cell>
          <cell r="T20">
            <v>0.40972972972972971</v>
          </cell>
          <cell r="U20">
            <v>0.50000169589830035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0.24668449489712382</v>
          </cell>
          <cell r="AB20">
            <v>0.77211923718194664</v>
          </cell>
          <cell r="AC20">
            <v>0.90092908522098269</v>
          </cell>
          <cell r="AD20">
            <v>1</v>
          </cell>
          <cell r="AE20">
            <v>1</v>
          </cell>
          <cell r="AF20">
            <v>0.93938019890569135</v>
          </cell>
          <cell r="AG20">
            <v>0.57663817506149817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1.0000523779593546</v>
          </cell>
          <cell r="AM20">
            <v>1</v>
          </cell>
          <cell r="AN20">
            <v>1</v>
          </cell>
          <cell r="AO20">
            <v>1</v>
          </cell>
          <cell r="AP20">
            <v>0.47559318901975811</v>
          </cell>
          <cell r="AQ20">
            <v>0.2600004324355491</v>
          </cell>
          <cell r="AR20">
            <v>1</v>
          </cell>
          <cell r="AS20">
            <v>1</v>
          </cell>
          <cell r="AT20">
            <v>1</v>
          </cell>
          <cell r="AU20">
            <v>0.10000034015490654</v>
          </cell>
          <cell r="AV20">
            <v>0.19367220099653151</v>
          </cell>
          <cell r="AW20">
            <v>0.75779453356146398</v>
          </cell>
          <cell r="AX20">
            <v>0.12269519034853833</v>
          </cell>
          <cell r="AY20">
            <v>1</v>
          </cell>
          <cell r="AZ20">
            <v>0.52838612419167752</v>
          </cell>
          <cell r="BA20">
            <v>1</v>
          </cell>
          <cell r="BB20">
            <v>1</v>
          </cell>
          <cell r="BC20">
            <v>0.27400902724054366</v>
          </cell>
          <cell r="BD20">
            <v>0.86620963130344686</v>
          </cell>
          <cell r="BE20">
            <v>1</v>
          </cell>
          <cell r="BF20">
            <v>1</v>
          </cell>
          <cell r="BG20">
            <v>0.35425325375710076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0.37014766578844255</v>
          </cell>
          <cell r="BM20">
            <v>1</v>
          </cell>
          <cell r="BN20">
            <v>1</v>
          </cell>
          <cell r="BO20">
            <v>1</v>
          </cell>
          <cell r="BP20">
            <v>1.0000079467251546</v>
          </cell>
          <cell r="BQ20">
            <v>1.0000003605817771</v>
          </cell>
          <cell r="BR20">
            <v>1</v>
          </cell>
          <cell r="BS20">
            <v>0.99996456309246085</v>
          </cell>
          <cell r="BT20">
            <v>1</v>
          </cell>
          <cell r="BU20">
            <v>1</v>
          </cell>
          <cell r="BV20">
            <v>0.81355574696285138</v>
          </cell>
          <cell r="BW20">
            <v>0.7455495915429573</v>
          </cell>
          <cell r="BX20">
            <v>0.57847248209314095</v>
          </cell>
          <cell r="BY20">
            <v>0.88505515915252064</v>
          </cell>
          <cell r="BZ20">
            <v>1</v>
          </cell>
          <cell r="CA20">
            <v>1</v>
          </cell>
          <cell r="CB20">
            <v>1</v>
          </cell>
          <cell r="CC20">
            <v>0.81263852664828928</v>
          </cell>
        </row>
        <row r="21">
          <cell r="A21"/>
          <cell r="B21" t="str">
            <v>Supranational</v>
          </cell>
          <cell r="C21">
            <v>658078</v>
          </cell>
          <cell r="D21">
            <v>121311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23000</v>
          </cell>
          <cell r="M21">
            <v>0</v>
          </cell>
          <cell r="N21">
            <v>52395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32160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50000</v>
          </cell>
          <cell r="AC21">
            <v>60000</v>
          </cell>
          <cell r="AD21">
            <v>0</v>
          </cell>
          <cell r="AE21">
            <v>0</v>
          </cell>
          <cell r="AF21">
            <v>0</v>
          </cell>
          <cell r="AG21"/>
          <cell r="AH21">
            <v>25000</v>
          </cell>
          <cell r="AI21">
            <v>62500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30000</v>
          </cell>
          <cell r="AO21">
            <v>0</v>
          </cell>
          <cell r="AP21">
            <v>0</v>
          </cell>
          <cell r="AQ21">
            <v>50827</v>
          </cell>
          <cell r="AR21">
            <v>0</v>
          </cell>
          <cell r="AS21">
            <v>0</v>
          </cell>
          <cell r="AT21">
            <v>0</v>
          </cell>
          <cell r="AU21">
            <v>73091</v>
          </cell>
          <cell r="AV21">
            <v>0</v>
          </cell>
          <cell r="AW21">
            <v>60000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30000</v>
          </cell>
          <cell r="BW21">
            <v>0</v>
          </cell>
          <cell r="BX21">
            <v>109105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C21">
            <v>0</v>
          </cell>
        </row>
        <row r="22">
          <cell r="A22">
            <v>110</v>
          </cell>
          <cell r="B22" t="str">
            <v>Eurimages Anteil Schweiz</v>
          </cell>
          <cell r="C22">
            <v>174624</v>
          </cell>
          <cell r="D22">
            <v>121311</v>
          </cell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>
            <v>50827</v>
          </cell>
          <cell r="AR22"/>
          <cell r="AS22"/>
          <cell r="AT22"/>
          <cell r="AU22">
            <v>42692</v>
          </cell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>
            <v>81105</v>
          </cell>
          <cell r="BY22"/>
          <cell r="BZ22"/>
          <cell r="CA22"/>
          <cell r="CB22"/>
          <cell r="CC22"/>
        </row>
        <row r="23">
          <cell r="A23">
            <v>120</v>
          </cell>
          <cell r="B23" t="str">
            <v>MEDIA Ersatzmassnahmen / Creative Europe</v>
          </cell>
          <cell r="C23">
            <v>483454</v>
          </cell>
          <cell r="D23"/>
          <cell r="E23"/>
          <cell r="F23"/>
          <cell r="G23"/>
          <cell r="H23"/>
          <cell r="I23"/>
          <cell r="J23"/>
          <cell r="K23"/>
          <cell r="L23">
            <v>23000</v>
          </cell>
          <cell r="M23"/>
          <cell r="N23">
            <v>52395</v>
          </cell>
          <cell r="O23"/>
          <cell r="P23"/>
          <cell r="Q23"/>
          <cell r="R23"/>
          <cell r="S23">
            <v>32160</v>
          </cell>
          <cell r="T23"/>
          <cell r="U23"/>
          <cell r="V23"/>
          <cell r="W23"/>
          <cell r="X23"/>
          <cell r="Y23"/>
          <cell r="Z23"/>
          <cell r="AA23"/>
          <cell r="AB23">
            <v>50000</v>
          </cell>
          <cell r="AC23">
            <v>60000</v>
          </cell>
          <cell r="AD23"/>
          <cell r="AE23"/>
          <cell r="AF23"/>
          <cell r="AG23"/>
          <cell r="AH23">
            <v>25000</v>
          </cell>
          <cell r="AI23">
            <v>62500</v>
          </cell>
          <cell r="AJ23"/>
          <cell r="AK23"/>
          <cell r="AL23"/>
          <cell r="AM23"/>
          <cell r="AN23">
            <v>30000</v>
          </cell>
          <cell r="AO23"/>
          <cell r="AP23"/>
          <cell r="AQ23"/>
          <cell r="AR23"/>
          <cell r="AS23"/>
          <cell r="AT23"/>
          <cell r="AU23">
            <v>30399</v>
          </cell>
          <cell r="AV23"/>
          <cell r="AW23">
            <v>60000</v>
          </cell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>
            <v>30000</v>
          </cell>
          <cell r="BW23"/>
          <cell r="BX23">
            <v>28000</v>
          </cell>
          <cell r="BY23"/>
          <cell r="BZ23"/>
          <cell r="CA23"/>
          <cell r="CB23"/>
          <cell r="CC23"/>
        </row>
        <row r="24">
          <cell r="A24"/>
          <cell r="B24" t="str">
            <v>Bund</v>
          </cell>
          <cell r="C24">
            <v>23235120</v>
          </cell>
          <cell r="D24">
            <v>213000</v>
          </cell>
          <cell r="E24">
            <v>35000</v>
          </cell>
          <cell r="F24">
            <v>0</v>
          </cell>
          <cell r="G24">
            <v>314800</v>
          </cell>
          <cell r="H24">
            <v>40000</v>
          </cell>
          <cell r="I24">
            <v>90000</v>
          </cell>
          <cell r="J24">
            <v>336808</v>
          </cell>
          <cell r="K24">
            <v>59088</v>
          </cell>
          <cell r="L24">
            <v>385191</v>
          </cell>
          <cell r="M24">
            <v>9378</v>
          </cell>
          <cell r="N24">
            <v>1428332</v>
          </cell>
          <cell r="O24">
            <v>125000</v>
          </cell>
          <cell r="P24">
            <v>55673</v>
          </cell>
          <cell r="Q24">
            <v>1580241</v>
          </cell>
          <cell r="R24">
            <v>173031</v>
          </cell>
          <cell r="S24">
            <v>1034316</v>
          </cell>
          <cell r="T24">
            <v>19000</v>
          </cell>
          <cell r="U24">
            <v>40000</v>
          </cell>
          <cell r="V24">
            <v>281108</v>
          </cell>
          <cell r="W24">
            <v>680000</v>
          </cell>
          <cell r="X24">
            <v>0</v>
          </cell>
          <cell r="Y24">
            <v>5508</v>
          </cell>
          <cell r="Z24">
            <v>42542</v>
          </cell>
          <cell r="AA24">
            <v>40000</v>
          </cell>
          <cell r="AB24">
            <v>997828</v>
          </cell>
          <cell r="AC24">
            <v>858500</v>
          </cell>
          <cell r="AD24">
            <v>145000</v>
          </cell>
          <cell r="AE24">
            <v>10700</v>
          </cell>
          <cell r="AF24">
            <v>177455</v>
          </cell>
          <cell r="AG24">
            <v>103000</v>
          </cell>
          <cell r="AH24">
            <v>214176</v>
          </cell>
          <cell r="AI24">
            <v>477843</v>
          </cell>
          <cell r="AJ24">
            <v>193000</v>
          </cell>
          <cell r="AK24">
            <v>101560</v>
          </cell>
          <cell r="AL24">
            <v>180000</v>
          </cell>
          <cell r="AM24">
            <v>0</v>
          </cell>
          <cell r="AN24">
            <v>0</v>
          </cell>
          <cell r="AO24">
            <v>185072</v>
          </cell>
          <cell r="AP24">
            <v>70000</v>
          </cell>
          <cell r="AQ24">
            <v>150000</v>
          </cell>
          <cell r="AR24">
            <v>0</v>
          </cell>
          <cell r="AS24">
            <v>10000</v>
          </cell>
          <cell r="AT24">
            <v>120000</v>
          </cell>
          <cell r="AU24">
            <v>200000</v>
          </cell>
          <cell r="AV24">
            <v>5000</v>
          </cell>
          <cell r="AW24">
            <v>1517140</v>
          </cell>
          <cell r="AX24">
            <v>0</v>
          </cell>
          <cell r="AY24">
            <v>0</v>
          </cell>
          <cell r="AZ24">
            <v>50000</v>
          </cell>
          <cell r="BA24">
            <v>0</v>
          </cell>
          <cell r="BB24">
            <v>820010</v>
          </cell>
          <cell r="BC24">
            <v>40000</v>
          </cell>
          <cell r="BD24">
            <v>120000</v>
          </cell>
          <cell r="BE24">
            <v>305584</v>
          </cell>
          <cell r="BF24">
            <v>136814</v>
          </cell>
          <cell r="BG24">
            <v>30000</v>
          </cell>
          <cell r="BH24">
            <v>630000</v>
          </cell>
          <cell r="BI24">
            <v>50000</v>
          </cell>
          <cell r="BJ24">
            <v>111753</v>
          </cell>
          <cell r="BK24">
            <v>335486</v>
          </cell>
          <cell r="BL24">
            <v>430980</v>
          </cell>
          <cell r="BM24">
            <v>0</v>
          </cell>
          <cell r="BN24">
            <v>0</v>
          </cell>
          <cell r="BO24">
            <v>0</v>
          </cell>
          <cell r="BP24">
            <v>155000</v>
          </cell>
          <cell r="BQ24">
            <v>1192025</v>
          </cell>
          <cell r="BR24">
            <v>56683</v>
          </cell>
          <cell r="BS24">
            <v>301590</v>
          </cell>
          <cell r="BT24">
            <v>40000</v>
          </cell>
          <cell r="BU24">
            <v>18188</v>
          </cell>
          <cell r="BV24">
            <v>771245</v>
          </cell>
          <cell r="BW24">
            <v>176100</v>
          </cell>
          <cell r="BX24">
            <v>140000</v>
          </cell>
          <cell r="BY24">
            <v>1413463</v>
          </cell>
          <cell r="BZ24">
            <v>600000</v>
          </cell>
          <cell r="CA24">
            <v>247145</v>
          </cell>
          <cell r="CB24">
            <v>196330</v>
          </cell>
          <cell r="CC24">
            <v>1855000</v>
          </cell>
        </row>
        <row r="25">
          <cell r="A25">
            <v>202</v>
          </cell>
          <cell r="B25" t="str">
            <v>BAK selektiv Treatment</v>
          </cell>
          <cell r="C25">
            <v>25000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>
            <v>5000</v>
          </cell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>
            <v>10000</v>
          </cell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>
            <v>5000</v>
          </cell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</row>
        <row r="26">
          <cell r="A26">
            <v>202</v>
          </cell>
          <cell r="B26" t="str">
            <v>BAK selektiv Drehbuch</v>
          </cell>
          <cell r="C26">
            <v>330000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>
            <v>70000</v>
          </cell>
          <cell r="O26"/>
          <cell r="P26"/>
          <cell r="Q26">
            <v>30000</v>
          </cell>
          <cell r="R26"/>
          <cell r="S26"/>
          <cell r="T26"/>
          <cell r="U26"/>
          <cell r="V26"/>
          <cell r="W26">
            <v>30000</v>
          </cell>
          <cell r="X26"/>
          <cell r="Y26"/>
          <cell r="Z26"/>
          <cell r="AA26"/>
          <cell r="AB26">
            <v>55000</v>
          </cell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>
            <v>40000</v>
          </cell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>
            <v>30000</v>
          </cell>
          <cell r="BI26"/>
          <cell r="BJ26"/>
          <cell r="BK26"/>
          <cell r="BL26"/>
          <cell r="BM26"/>
          <cell r="BN26"/>
          <cell r="BO26"/>
          <cell r="BP26"/>
          <cell r="BQ26">
            <v>20000</v>
          </cell>
          <cell r="BR26"/>
          <cell r="BS26">
            <v>25000</v>
          </cell>
          <cell r="BT26"/>
          <cell r="BU26"/>
          <cell r="BV26"/>
          <cell r="BW26"/>
          <cell r="BX26"/>
          <cell r="BY26">
            <v>30000</v>
          </cell>
          <cell r="BZ26"/>
          <cell r="CA26"/>
          <cell r="CB26"/>
          <cell r="CC26"/>
        </row>
        <row r="27">
          <cell r="A27">
            <v>203</v>
          </cell>
          <cell r="B27" t="str">
            <v>BAK selektiv Projektentwicklung</v>
          </cell>
          <cell r="C27">
            <v>507000</v>
          </cell>
          <cell r="D27">
            <v>25000</v>
          </cell>
          <cell r="E27"/>
          <cell r="F27"/>
          <cell r="G27"/>
          <cell r="H27"/>
          <cell r="I27"/>
          <cell r="J27">
            <v>30000</v>
          </cell>
          <cell r="K27"/>
          <cell r="L27">
            <v>30000</v>
          </cell>
          <cell r="M27"/>
          <cell r="N27"/>
          <cell r="O27"/>
          <cell r="P27"/>
          <cell r="Q27"/>
          <cell r="R27"/>
          <cell r="S27"/>
          <cell r="T27"/>
          <cell r="U27"/>
          <cell r="V27">
            <v>48000</v>
          </cell>
          <cell r="W27"/>
          <cell r="X27"/>
          <cell r="Y27"/>
          <cell r="Z27"/>
          <cell r="AA27"/>
          <cell r="AB27"/>
          <cell r="AC27">
            <v>40000</v>
          </cell>
          <cell r="AD27"/>
          <cell r="AE27"/>
          <cell r="AF27">
            <v>21000</v>
          </cell>
          <cell r="AG27">
            <v>13000</v>
          </cell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>
            <v>30000</v>
          </cell>
          <cell r="BC27"/>
          <cell r="BD27"/>
          <cell r="BE27">
            <v>30000</v>
          </cell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>
            <v>180000</v>
          </cell>
          <cell r="BT27"/>
          <cell r="BU27"/>
          <cell r="BV27">
            <v>50000</v>
          </cell>
          <cell r="BW27"/>
          <cell r="BX27">
            <v>30000</v>
          </cell>
          <cell r="BY27"/>
          <cell r="BZ27"/>
          <cell r="CA27"/>
          <cell r="CB27"/>
          <cell r="CC27"/>
        </row>
        <row r="28">
          <cell r="A28">
            <v>210</v>
          </cell>
          <cell r="B28" t="str">
            <v>BAK selektiv Herstellung</v>
          </cell>
          <cell r="C28">
            <v>14138500</v>
          </cell>
          <cell r="D28">
            <v>153000</v>
          </cell>
          <cell r="E28">
            <v>35000</v>
          </cell>
          <cell r="F28"/>
          <cell r="G28"/>
          <cell r="H28">
            <v>40000</v>
          </cell>
          <cell r="I28">
            <v>90000</v>
          </cell>
          <cell r="J28">
            <v>200000</v>
          </cell>
          <cell r="K28"/>
          <cell r="L28">
            <v>180000</v>
          </cell>
          <cell r="M28"/>
          <cell r="N28">
            <v>960000</v>
          </cell>
          <cell r="O28">
            <v>115000</v>
          </cell>
          <cell r="P28"/>
          <cell r="Q28">
            <v>990000</v>
          </cell>
          <cell r="R28">
            <v>150000</v>
          </cell>
          <cell r="S28">
            <v>650000</v>
          </cell>
          <cell r="T28"/>
          <cell r="U28">
            <v>40000</v>
          </cell>
          <cell r="V28">
            <v>130000</v>
          </cell>
          <cell r="W28">
            <v>600000</v>
          </cell>
          <cell r="X28"/>
          <cell r="Y28"/>
          <cell r="Z28"/>
          <cell r="AA28">
            <v>40000</v>
          </cell>
          <cell r="AB28">
            <v>650000</v>
          </cell>
          <cell r="AC28">
            <v>800000</v>
          </cell>
          <cell r="AD28">
            <v>130000</v>
          </cell>
          <cell r="AE28"/>
          <cell r="AF28"/>
          <cell r="AG28">
            <v>90000</v>
          </cell>
          <cell r="AH28">
            <v>85000</v>
          </cell>
          <cell r="AI28">
            <v>465000</v>
          </cell>
          <cell r="AJ28">
            <v>180000</v>
          </cell>
          <cell r="AK28"/>
          <cell r="AL28">
            <v>180000</v>
          </cell>
          <cell r="AM28"/>
          <cell r="AN28"/>
          <cell r="AO28">
            <v>70000</v>
          </cell>
          <cell r="AP28">
            <v>60000</v>
          </cell>
          <cell r="AQ28">
            <v>150000</v>
          </cell>
          <cell r="AR28"/>
          <cell r="AS28"/>
          <cell r="AT28">
            <v>120000</v>
          </cell>
          <cell r="AU28">
            <v>200000</v>
          </cell>
          <cell r="AV28"/>
          <cell r="AW28">
            <v>800000</v>
          </cell>
          <cell r="AX28"/>
          <cell r="AY28"/>
          <cell r="AZ28"/>
          <cell r="BA28"/>
          <cell r="BB28"/>
          <cell r="BC28">
            <v>40000</v>
          </cell>
          <cell r="BD28">
            <v>120000</v>
          </cell>
          <cell r="BE28">
            <v>180000</v>
          </cell>
          <cell r="BF28"/>
          <cell r="BG28">
            <v>30000</v>
          </cell>
          <cell r="BH28">
            <v>600000</v>
          </cell>
          <cell r="BI28"/>
          <cell r="BJ28"/>
          <cell r="BK28">
            <v>50000</v>
          </cell>
          <cell r="BL28">
            <v>300000</v>
          </cell>
          <cell r="BM28"/>
          <cell r="BN28"/>
          <cell r="BO28"/>
          <cell r="BP28"/>
          <cell r="BQ28">
            <v>750000</v>
          </cell>
          <cell r="BR28"/>
          <cell r="BS28"/>
          <cell r="BT28">
            <v>40000</v>
          </cell>
          <cell r="BU28"/>
          <cell r="BV28">
            <v>650000</v>
          </cell>
          <cell r="BW28">
            <v>38500</v>
          </cell>
          <cell r="BX28">
            <v>110000</v>
          </cell>
          <cell r="BY28">
            <v>920000</v>
          </cell>
          <cell r="BZ28">
            <v>600000</v>
          </cell>
          <cell r="CA28">
            <v>70000</v>
          </cell>
          <cell r="CB28">
            <v>100000</v>
          </cell>
          <cell r="CC28">
            <v>1000000</v>
          </cell>
        </row>
        <row r="29">
          <cell r="A29">
            <v>220</v>
          </cell>
          <cell r="B29" t="str">
            <v>BAK selektiv Postproduktion</v>
          </cell>
          <cell r="C29">
            <v>235000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>
            <v>50000</v>
          </cell>
          <cell r="X29"/>
          <cell r="Y29"/>
          <cell r="Z29">
            <v>20000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 t="str">
            <v xml:space="preserve"> </v>
          </cell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>
            <v>50000</v>
          </cell>
          <cell r="BA29"/>
          <cell r="BB29" t="str">
            <v xml:space="preserve"> </v>
          </cell>
          <cell r="BC29" t="str">
            <v xml:space="preserve"> </v>
          </cell>
          <cell r="BD29"/>
          <cell r="BE29"/>
          <cell r="BF29"/>
          <cell r="BG29"/>
          <cell r="BH29"/>
          <cell r="BI29">
            <v>50000</v>
          </cell>
          <cell r="BJ29"/>
          <cell r="BK29"/>
          <cell r="BL29"/>
          <cell r="BM29"/>
          <cell r="BN29"/>
          <cell r="BO29"/>
          <cell r="BP29"/>
          <cell r="BQ29"/>
          <cell r="BR29">
            <v>35000</v>
          </cell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</row>
        <row r="30">
          <cell r="A30">
            <v>251</v>
          </cell>
          <cell r="B30" t="str">
            <v>BAK Succès Cinéma Produzent/in</v>
          </cell>
          <cell r="C30">
            <v>2714898</v>
          </cell>
          <cell r="D30">
            <v>35000</v>
          </cell>
          <cell r="E30"/>
          <cell r="F30"/>
          <cell r="G30">
            <v>207377</v>
          </cell>
          <cell r="H30"/>
          <cell r="I30"/>
          <cell r="J30"/>
          <cell r="K30"/>
          <cell r="L30">
            <v>68500</v>
          </cell>
          <cell r="M30">
            <v>9378</v>
          </cell>
          <cell r="N30">
            <v>35000</v>
          </cell>
          <cell r="O30">
            <v>10000</v>
          </cell>
          <cell r="P30">
            <v>47969</v>
          </cell>
          <cell r="Q30">
            <v>155413</v>
          </cell>
          <cell r="R30">
            <v>23031</v>
          </cell>
          <cell r="S30">
            <v>90000</v>
          </cell>
          <cell r="T30">
            <v>19000</v>
          </cell>
          <cell r="U30"/>
          <cell r="V30">
            <v>50000</v>
          </cell>
          <cell r="W30"/>
          <cell r="X30"/>
          <cell r="Y30"/>
          <cell r="Z30">
            <v>22542</v>
          </cell>
          <cell r="AA30"/>
          <cell r="AB30">
            <v>60340</v>
          </cell>
          <cell r="AC30">
            <v>18500</v>
          </cell>
          <cell r="AD30">
            <v>10000</v>
          </cell>
          <cell r="AE30">
            <v>10700</v>
          </cell>
          <cell r="AF30">
            <v>29799</v>
          </cell>
          <cell r="AG30"/>
          <cell r="AH30"/>
          <cell r="AI30">
            <v>12843</v>
          </cell>
          <cell r="AJ30">
            <v>13000</v>
          </cell>
          <cell r="AK30">
            <v>82995</v>
          </cell>
          <cell r="AL30"/>
          <cell r="AM30"/>
          <cell r="AN30"/>
          <cell r="AO30">
            <v>32560</v>
          </cell>
          <cell r="AP30">
            <v>10000</v>
          </cell>
          <cell r="AQ30"/>
          <cell r="AR30"/>
          <cell r="AS30">
            <v>10000</v>
          </cell>
          <cell r="AT30"/>
          <cell r="AU30"/>
          <cell r="AV30">
            <v>5000</v>
          </cell>
          <cell r="AW30">
            <v>212900</v>
          </cell>
          <cell r="AX30"/>
          <cell r="AY30"/>
          <cell r="AZ30"/>
          <cell r="BA30"/>
          <cell r="BB30">
            <v>256632</v>
          </cell>
          <cell r="BC30"/>
          <cell r="BD30"/>
          <cell r="BE30"/>
          <cell r="BF30">
            <v>20000</v>
          </cell>
          <cell r="BG30"/>
          <cell r="BH30"/>
          <cell r="BI30"/>
          <cell r="BJ30"/>
          <cell r="BK30">
            <v>181500</v>
          </cell>
          <cell r="BL30">
            <v>25000</v>
          </cell>
          <cell r="BM30"/>
          <cell r="BN30"/>
          <cell r="BO30"/>
          <cell r="BP30">
            <v>155000</v>
          </cell>
          <cell r="BQ30"/>
          <cell r="BR30">
            <v>21683</v>
          </cell>
          <cell r="BS30"/>
          <cell r="BT30"/>
          <cell r="BU30">
            <v>8400</v>
          </cell>
          <cell r="BV30">
            <v>71245</v>
          </cell>
          <cell r="BW30">
            <v>114000</v>
          </cell>
          <cell r="BX30"/>
          <cell r="BY30">
            <v>29151</v>
          </cell>
          <cell r="BZ30"/>
          <cell r="CA30">
            <v>85006</v>
          </cell>
          <cell r="CB30"/>
          <cell r="CC30">
            <v>360000</v>
          </cell>
        </row>
        <row r="31">
          <cell r="A31">
            <v>252</v>
          </cell>
          <cell r="B31" t="str">
            <v>BAK Succès Cinéma Koproduzent/in</v>
          </cell>
          <cell r="C31">
            <v>185374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>
            <v>60000</v>
          </cell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>
            <v>84632</v>
          </cell>
          <cell r="BC31"/>
          <cell r="BD31"/>
          <cell r="BE31"/>
          <cell r="BF31"/>
          <cell r="BG31"/>
          <cell r="BH31"/>
          <cell r="BI31"/>
          <cell r="BJ31">
            <v>40742</v>
          </cell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</row>
        <row r="32">
          <cell r="A32">
            <v>253</v>
          </cell>
          <cell r="B32" t="str">
            <v>BAK Succès Cinéma Autor/in</v>
          </cell>
          <cell r="C32">
            <v>110722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>
            <v>13102</v>
          </cell>
          <cell r="AL32"/>
          <cell r="AM32"/>
          <cell r="AN32"/>
          <cell r="AO32">
            <v>5180</v>
          </cell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>
            <v>29150</v>
          </cell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>
            <v>23600</v>
          </cell>
          <cell r="BX32"/>
          <cell r="BY32"/>
          <cell r="BZ32"/>
          <cell r="CA32"/>
          <cell r="CB32">
            <v>24690</v>
          </cell>
          <cell r="CC32">
            <v>15000</v>
          </cell>
        </row>
        <row r="33">
          <cell r="A33">
            <v>254</v>
          </cell>
          <cell r="B33" t="str">
            <v>BAK Succès Cinéma Regie</v>
          </cell>
          <cell r="C33">
            <v>199170</v>
          </cell>
          <cell r="D33"/>
          <cell r="E33"/>
          <cell r="F33"/>
          <cell r="G33"/>
          <cell r="H33"/>
          <cell r="I33"/>
          <cell r="J33"/>
          <cell r="K33"/>
          <cell r="L33">
            <v>8663</v>
          </cell>
          <cell r="M33"/>
          <cell r="N33">
            <v>44690</v>
          </cell>
          <cell r="O33"/>
          <cell r="P33">
            <v>7704</v>
          </cell>
          <cell r="Q33"/>
          <cell r="R33"/>
          <cell r="S33"/>
          <cell r="T33"/>
          <cell r="U33"/>
          <cell r="V33"/>
          <cell r="W33"/>
          <cell r="X33"/>
          <cell r="Y33">
            <v>5508</v>
          </cell>
          <cell r="Z33"/>
          <cell r="AA33"/>
          <cell r="AB33"/>
          <cell r="AC33"/>
          <cell r="AD33"/>
          <cell r="AE33"/>
          <cell r="AF33"/>
          <cell r="AG33"/>
          <cell r="AH33">
            <v>28376</v>
          </cell>
          <cell r="AI33"/>
          <cell r="AJ33"/>
          <cell r="AK33">
            <v>5463</v>
          </cell>
          <cell r="AL33"/>
          <cell r="AM33"/>
          <cell r="AN33"/>
          <cell r="AO33">
            <v>5180</v>
          </cell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>
            <v>40000</v>
          </cell>
          <cell r="BC33"/>
          <cell r="BD33"/>
          <cell r="BE33"/>
          <cell r="BF33">
            <v>15000</v>
          </cell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>
            <v>8798</v>
          </cell>
          <cell r="BT33"/>
          <cell r="BU33">
            <v>9788</v>
          </cell>
          <cell r="BV33"/>
          <cell r="BW33"/>
          <cell r="BX33"/>
          <cell r="BY33"/>
          <cell r="BZ33"/>
          <cell r="CA33">
            <v>20000</v>
          </cell>
          <cell r="CB33"/>
          <cell r="CC33"/>
        </row>
        <row r="34">
          <cell r="A34">
            <v>255</v>
          </cell>
          <cell r="B34" t="str">
            <v>BAK Succès Cinéma Verleih</v>
          </cell>
          <cell r="C34">
            <v>0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</row>
        <row r="35">
          <cell r="A35">
            <v>260</v>
          </cell>
          <cell r="B35" t="str">
            <v>BAK Standortförderung FiSS (garantierter Teil)</v>
          </cell>
          <cell r="C35">
            <v>4789456</v>
          </cell>
          <cell r="D35"/>
          <cell r="E35"/>
          <cell r="F35"/>
          <cell r="G35">
            <v>107423</v>
          </cell>
          <cell r="H35"/>
          <cell r="I35"/>
          <cell r="J35">
            <v>106808</v>
          </cell>
          <cell r="K35">
            <v>59088</v>
          </cell>
          <cell r="L35">
            <v>98028</v>
          </cell>
          <cell r="M35"/>
          <cell r="N35">
            <v>318642</v>
          </cell>
          <cell r="O35"/>
          <cell r="P35"/>
          <cell r="Q35">
            <v>404828</v>
          </cell>
          <cell r="R35"/>
          <cell r="S35">
            <v>234316</v>
          </cell>
          <cell r="T35"/>
          <cell r="U35"/>
          <cell r="V35">
            <v>53108</v>
          </cell>
          <cell r="W35"/>
          <cell r="X35"/>
          <cell r="Y35"/>
          <cell r="Z35"/>
          <cell r="AA35"/>
          <cell r="AB35">
            <v>232488</v>
          </cell>
          <cell r="AC35"/>
          <cell r="AD35"/>
          <cell r="AE35"/>
          <cell r="AF35">
            <v>126656</v>
          </cell>
          <cell r="AG35"/>
          <cell r="AH35">
            <v>100800</v>
          </cell>
          <cell r="AI35"/>
          <cell r="AJ35"/>
          <cell r="AK35"/>
          <cell r="AL35"/>
          <cell r="AM35"/>
          <cell r="AN35"/>
          <cell r="AO35">
            <v>72152</v>
          </cell>
          <cell r="AP35"/>
          <cell r="AQ35"/>
          <cell r="AR35"/>
          <cell r="AS35"/>
          <cell r="AT35"/>
          <cell r="AU35"/>
          <cell r="AV35"/>
          <cell r="AW35">
            <v>454240</v>
          </cell>
          <cell r="AX35"/>
          <cell r="AY35"/>
          <cell r="AZ35"/>
          <cell r="BA35"/>
          <cell r="BB35">
            <v>408746</v>
          </cell>
          <cell r="BC35"/>
          <cell r="BD35"/>
          <cell r="BE35">
            <v>95584</v>
          </cell>
          <cell r="BF35">
            <v>101814</v>
          </cell>
          <cell r="BG35"/>
          <cell r="BH35"/>
          <cell r="BI35"/>
          <cell r="BJ35">
            <v>71011</v>
          </cell>
          <cell r="BK35">
            <v>74836</v>
          </cell>
          <cell r="BL35">
            <v>105980</v>
          </cell>
          <cell r="BM35"/>
          <cell r="BN35"/>
          <cell r="BO35"/>
          <cell r="BP35"/>
          <cell r="BQ35">
            <v>422025</v>
          </cell>
          <cell r="BR35"/>
          <cell r="BS35">
            <v>82792</v>
          </cell>
          <cell r="BT35"/>
          <cell r="BU35"/>
          <cell r="BV35"/>
          <cell r="BW35"/>
          <cell r="BX35"/>
          <cell r="BY35">
            <v>434312</v>
          </cell>
          <cell r="BZ35"/>
          <cell r="CA35">
            <v>72139</v>
          </cell>
          <cell r="CB35">
            <v>71640</v>
          </cell>
          <cell r="CC35">
            <v>480000</v>
          </cell>
        </row>
        <row r="36">
          <cell r="A36"/>
          <cell r="B36" t="str">
            <v>Regionen</v>
          </cell>
          <cell r="C36">
            <v>19380349</v>
          </cell>
          <cell r="D36">
            <v>126450</v>
          </cell>
          <cell r="E36">
            <v>11200</v>
          </cell>
          <cell r="F36">
            <v>31500</v>
          </cell>
          <cell r="G36">
            <v>126000</v>
          </cell>
          <cell r="H36">
            <v>61250</v>
          </cell>
          <cell r="I36">
            <v>123200</v>
          </cell>
          <cell r="J36">
            <v>223000</v>
          </cell>
          <cell r="K36">
            <v>264000</v>
          </cell>
          <cell r="L36">
            <v>125000</v>
          </cell>
          <cell r="M36">
            <v>84400</v>
          </cell>
          <cell r="N36">
            <v>732500</v>
          </cell>
          <cell r="O36">
            <v>80000</v>
          </cell>
          <cell r="P36">
            <v>235000</v>
          </cell>
          <cell r="Q36">
            <v>380000</v>
          </cell>
          <cell r="R36">
            <v>48000</v>
          </cell>
          <cell r="S36">
            <v>642000</v>
          </cell>
          <cell r="T36">
            <v>68325</v>
          </cell>
          <cell r="U36">
            <v>44200</v>
          </cell>
          <cell r="V36">
            <v>275000</v>
          </cell>
          <cell r="W36">
            <v>235000</v>
          </cell>
          <cell r="X36">
            <v>245000</v>
          </cell>
          <cell r="Y36">
            <v>68100</v>
          </cell>
          <cell r="Z36">
            <v>508750</v>
          </cell>
          <cell r="AA36">
            <v>0</v>
          </cell>
          <cell r="AB36">
            <v>590000</v>
          </cell>
          <cell r="AC36">
            <v>600000</v>
          </cell>
          <cell r="AD36">
            <v>185000</v>
          </cell>
          <cell r="AE36">
            <v>30000</v>
          </cell>
          <cell r="AF36">
            <v>160785</v>
          </cell>
          <cell r="AG36">
            <v>0</v>
          </cell>
          <cell r="AH36">
            <v>222500</v>
          </cell>
          <cell r="AI36">
            <v>857000</v>
          </cell>
          <cell r="AJ36">
            <v>152000</v>
          </cell>
          <cell r="AK36">
            <v>70000</v>
          </cell>
          <cell r="AL36">
            <v>147000</v>
          </cell>
          <cell r="AM36">
            <v>43000</v>
          </cell>
          <cell r="AN36">
            <v>65650</v>
          </cell>
          <cell r="AO36">
            <v>175600</v>
          </cell>
          <cell r="AP36">
            <v>57000</v>
          </cell>
          <cell r="AQ36">
            <v>0</v>
          </cell>
          <cell r="AR36">
            <v>255000</v>
          </cell>
          <cell r="AS36">
            <v>123200</v>
          </cell>
          <cell r="AT36">
            <v>157600</v>
          </cell>
          <cell r="AU36">
            <v>0</v>
          </cell>
          <cell r="AV36">
            <v>104000</v>
          </cell>
          <cell r="AW36">
            <v>1137825</v>
          </cell>
          <cell r="AX36">
            <v>10225</v>
          </cell>
          <cell r="AY36">
            <v>0</v>
          </cell>
          <cell r="AZ36">
            <v>25000</v>
          </cell>
          <cell r="BA36">
            <v>0</v>
          </cell>
          <cell r="BB36">
            <v>1780000</v>
          </cell>
          <cell r="BC36">
            <v>45000</v>
          </cell>
          <cell r="BD36">
            <v>245000</v>
          </cell>
          <cell r="BE36">
            <v>145000</v>
          </cell>
          <cell r="BF36">
            <v>100000</v>
          </cell>
          <cell r="BG36">
            <v>10199</v>
          </cell>
          <cell r="BH36">
            <v>618000</v>
          </cell>
          <cell r="BI36">
            <v>55000</v>
          </cell>
          <cell r="BJ36">
            <v>380000</v>
          </cell>
          <cell r="BK36">
            <v>130000</v>
          </cell>
          <cell r="BL36">
            <v>324000</v>
          </cell>
          <cell r="BM36">
            <v>72000</v>
          </cell>
          <cell r="BN36">
            <v>79000</v>
          </cell>
          <cell r="BO36">
            <v>93600</v>
          </cell>
          <cell r="BP36">
            <v>25000</v>
          </cell>
          <cell r="BQ36">
            <v>780000</v>
          </cell>
          <cell r="BR36">
            <v>70000</v>
          </cell>
          <cell r="BS36">
            <v>355100</v>
          </cell>
          <cell r="BT36">
            <v>60000</v>
          </cell>
          <cell r="BU36">
            <v>30000</v>
          </cell>
          <cell r="BV36">
            <v>612000</v>
          </cell>
          <cell r="BW36">
            <v>0</v>
          </cell>
          <cell r="BX36">
            <v>10000</v>
          </cell>
          <cell r="BY36">
            <v>822940</v>
          </cell>
          <cell r="BZ36">
            <v>410000</v>
          </cell>
          <cell r="CA36">
            <v>90000</v>
          </cell>
          <cell r="CB36">
            <v>195000</v>
          </cell>
          <cell r="CC36">
            <v>1025000</v>
          </cell>
        </row>
        <row r="37">
          <cell r="A37">
            <v>301</v>
          </cell>
          <cell r="B37" t="str">
            <v>Filmstiftung Zürich Entwicklung</v>
          </cell>
          <cell r="C37">
            <v>378000</v>
          </cell>
          <cell r="D37">
            <v>20000</v>
          </cell>
          <cell r="E37"/>
          <cell r="F37"/>
          <cell r="G37"/>
          <cell r="H37"/>
          <cell r="I37"/>
          <cell r="J37">
            <v>25000</v>
          </cell>
          <cell r="K37"/>
          <cell r="L37">
            <v>25000</v>
          </cell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>
            <v>40000</v>
          </cell>
          <cell r="AC37"/>
          <cell r="AD37">
            <v>10000</v>
          </cell>
          <cell r="AE37"/>
          <cell r="AF37">
            <v>21000</v>
          </cell>
          <cell r="AG37"/>
          <cell r="AH37"/>
          <cell r="AI37">
            <v>50000</v>
          </cell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>
            <v>70000</v>
          </cell>
          <cell r="BC37"/>
          <cell r="BD37">
            <v>10000</v>
          </cell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>
            <v>25000</v>
          </cell>
          <cell r="BR37"/>
          <cell r="BS37"/>
          <cell r="BT37"/>
          <cell r="BU37"/>
          <cell r="BV37"/>
          <cell r="BW37"/>
          <cell r="BX37">
            <v>10000</v>
          </cell>
          <cell r="BY37">
            <v>30000</v>
          </cell>
          <cell r="BZ37"/>
          <cell r="CA37">
            <v>20000</v>
          </cell>
          <cell r="CB37"/>
          <cell r="CC37">
            <v>30000</v>
          </cell>
        </row>
        <row r="38">
          <cell r="A38">
            <v>302</v>
          </cell>
          <cell r="B38" t="str">
            <v>Filmstiftung Zürich Herstellung</v>
          </cell>
          <cell r="C38">
            <v>6320000</v>
          </cell>
          <cell r="D38">
            <v>100000</v>
          </cell>
          <cell r="E38"/>
          <cell r="F38"/>
          <cell r="G38"/>
          <cell r="H38"/>
          <cell r="I38"/>
          <cell r="J38">
            <v>120000</v>
          </cell>
          <cell r="K38"/>
          <cell r="L38">
            <v>100000</v>
          </cell>
          <cell r="M38"/>
          <cell r="N38">
            <v>680000</v>
          </cell>
          <cell r="O38">
            <v>80000</v>
          </cell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>
            <v>500000</v>
          </cell>
          <cell r="AA38"/>
          <cell r="AB38">
            <v>550000</v>
          </cell>
          <cell r="AC38"/>
          <cell r="AD38">
            <v>100000</v>
          </cell>
          <cell r="AE38"/>
          <cell r="AF38">
            <v>120000</v>
          </cell>
          <cell r="AG38"/>
          <cell r="AH38"/>
          <cell r="AI38">
            <v>380000</v>
          </cell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>
            <v>300000</v>
          </cell>
          <cell r="AX38"/>
          <cell r="AY38"/>
          <cell r="AZ38"/>
          <cell r="BA38"/>
          <cell r="BB38">
            <v>680000</v>
          </cell>
          <cell r="BC38">
            <v>35000</v>
          </cell>
          <cell r="BD38">
            <v>75000</v>
          </cell>
          <cell r="BE38"/>
          <cell r="BF38">
            <v>100000</v>
          </cell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>
            <v>665000</v>
          </cell>
          <cell r="BR38"/>
          <cell r="BS38">
            <v>80000</v>
          </cell>
          <cell r="BT38"/>
          <cell r="BU38"/>
          <cell r="BV38"/>
          <cell r="BW38"/>
          <cell r="BX38"/>
          <cell r="BY38">
            <v>700000</v>
          </cell>
          <cell r="BZ38"/>
          <cell r="CA38">
            <v>70000</v>
          </cell>
          <cell r="CB38"/>
          <cell r="CC38">
            <v>885000</v>
          </cell>
        </row>
        <row r="39">
          <cell r="A39">
            <v>305</v>
          </cell>
          <cell r="B39" t="str">
            <v>Succès Zürich Produzent/in</v>
          </cell>
          <cell r="C39">
            <v>597825</v>
          </cell>
          <cell r="D39">
            <v>6450</v>
          </cell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>
            <v>120000</v>
          </cell>
          <cell r="Y39"/>
          <cell r="Z39"/>
          <cell r="AA39"/>
          <cell r="AB39"/>
          <cell r="AC39"/>
          <cell r="AD39"/>
          <cell r="AE39"/>
          <cell r="AF39">
            <v>4785</v>
          </cell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>
            <v>80000</v>
          </cell>
          <cell r="BC39"/>
          <cell r="BD39"/>
          <cell r="BE39"/>
          <cell r="BF39"/>
          <cell r="BG39"/>
          <cell r="BH39"/>
          <cell r="BI39"/>
          <cell r="BJ39"/>
          <cell r="BK39">
            <v>80000</v>
          </cell>
          <cell r="BL39"/>
          <cell r="BM39"/>
          <cell r="BN39"/>
          <cell r="BO39"/>
          <cell r="BP39">
            <v>25000</v>
          </cell>
          <cell r="BQ39"/>
          <cell r="BR39"/>
          <cell r="BS39">
            <v>20100</v>
          </cell>
          <cell r="BT39"/>
          <cell r="BU39"/>
          <cell r="BV39"/>
          <cell r="BW39"/>
          <cell r="BX39"/>
          <cell r="BY39">
            <v>92940</v>
          </cell>
          <cell r="BZ39">
            <v>65000</v>
          </cell>
          <cell r="CA39"/>
          <cell r="CB39"/>
          <cell r="CC39">
            <v>110000</v>
          </cell>
        </row>
        <row r="40">
          <cell r="A40">
            <v>306</v>
          </cell>
          <cell r="B40" t="str">
            <v>Succès Zürich Autor/in</v>
          </cell>
          <cell r="C40">
            <v>150075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>
            <v>52500</v>
          </cell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>
            <v>8750</v>
          </cell>
          <cell r="AA40"/>
          <cell r="AB40"/>
          <cell r="AC40"/>
          <cell r="AD40"/>
          <cell r="AE40"/>
          <cell r="AF40">
            <v>15000</v>
          </cell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>
            <v>73825</v>
          </cell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</row>
        <row r="41">
          <cell r="A41">
            <v>307</v>
          </cell>
          <cell r="B41" t="str">
            <v>Succès Zürich Regie</v>
          </cell>
          <cell r="C41">
            <v>48100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>
            <v>8100</v>
          </cell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>
            <v>40000</v>
          </cell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</row>
        <row r="42">
          <cell r="A42">
            <v>311</v>
          </cell>
          <cell r="B42" t="str">
            <v>Cinéforom aide à l'écriture</v>
          </cell>
          <cell r="C42">
            <v>258000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>
            <v>30000</v>
          </cell>
          <cell r="T42"/>
          <cell r="U42"/>
          <cell r="V42"/>
          <cell r="W42"/>
          <cell r="X42"/>
          <cell r="Y42"/>
          <cell r="Z42"/>
          <cell r="AA42"/>
          <cell r="AB42"/>
          <cell r="AC42">
            <v>30000</v>
          </cell>
          <cell r="AD42"/>
          <cell r="AE42"/>
          <cell r="AF42"/>
          <cell r="AG42"/>
          <cell r="AH42"/>
          <cell r="AI42"/>
          <cell r="AJ42"/>
          <cell r="AK42"/>
          <cell r="AL42"/>
          <cell r="AM42">
            <v>18000</v>
          </cell>
          <cell r="AN42"/>
          <cell r="AO42">
            <v>30000</v>
          </cell>
          <cell r="AP42"/>
          <cell r="AQ42"/>
          <cell r="AR42"/>
          <cell r="AS42"/>
          <cell r="AT42">
            <v>30000</v>
          </cell>
          <cell r="AU42"/>
          <cell r="AV42"/>
          <cell r="AW42">
            <v>30000</v>
          </cell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>
            <v>30000</v>
          </cell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>
            <v>30000</v>
          </cell>
          <cell r="BW42"/>
          <cell r="BX42"/>
          <cell r="BY42"/>
          <cell r="BZ42"/>
          <cell r="CA42"/>
          <cell r="CB42"/>
          <cell r="CC42"/>
        </row>
        <row r="43">
          <cell r="A43">
            <v>312</v>
          </cell>
          <cell r="B43" t="str">
            <v>Cinéforom aide à la réalisation</v>
          </cell>
          <cell r="C43">
            <v>2913149</v>
          </cell>
          <cell r="D43"/>
          <cell r="E43">
            <v>7000</v>
          </cell>
          <cell r="F43">
            <v>30000</v>
          </cell>
          <cell r="G43">
            <v>90000</v>
          </cell>
          <cell r="H43"/>
          <cell r="I43">
            <v>80000</v>
          </cell>
          <cell r="J43"/>
          <cell r="K43"/>
          <cell r="L43"/>
          <cell r="M43">
            <v>70000</v>
          </cell>
          <cell r="N43"/>
          <cell r="O43"/>
          <cell r="P43"/>
          <cell r="Q43"/>
          <cell r="R43">
            <v>30000</v>
          </cell>
          <cell r="S43">
            <v>300000</v>
          </cell>
          <cell r="T43">
            <v>68325</v>
          </cell>
          <cell r="U43"/>
          <cell r="V43"/>
          <cell r="W43"/>
          <cell r="X43"/>
          <cell r="Y43"/>
          <cell r="Z43"/>
          <cell r="AA43"/>
          <cell r="AB43"/>
          <cell r="AC43">
            <v>250000</v>
          </cell>
          <cell r="AD43"/>
          <cell r="AE43"/>
          <cell r="AF43"/>
          <cell r="AG43"/>
          <cell r="AH43"/>
          <cell r="AI43"/>
          <cell r="AJ43">
            <v>80000</v>
          </cell>
          <cell r="AK43"/>
          <cell r="AL43"/>
          <cell r="AM43">
            <v>25000</v>
          </cell>
          <cell r="AN43"/>
          <cell r="AO43">
            <v>80000</v>
          </cell>
          <cell r="AP43">
            <v>25000</v>
          </cell>
          <cell r="AQ43"/>
          <cell r="AR43">
            <v>170000</v>
          </cell>
          <cell r="AS43">
            <v>80000</v>
          </cell>
          <cell r="AT43">
            <v>70000</v>
          </cell>
          <cell r="AU43"/>
          <cell r="AV43">
            <v>56000</v>
          </cell>
          <cell r="AW43">
            <v>350000</v>
          </cell>
          <cell r="AX43">
            <v>10225</v>
          </cell>
          <cell r="AY43"/>
          <cell r="AZ43"/>
          <cell r="BA43"/>
          <cell r="BB43"/>
          <cell r="BC43"/>
          <cell r="BD43"/>
          <cell r="BE43"/>
          <cell r="BF43"/>
          <cell r="BG43">
            <v>6599</v>
          </cell>
          <cell r="BH43">
            <v>300000</v>
          </cell>
          <cell r="BI43"/>
          <cell r="BJ43"/>
          <cell r="BK43"/>
          <cell r="BL43">
            <v>180000</v>
          </cell>
          <cell r="BM43"/>
          <cell r="BN43">
            <v>75000</v>
          </cell>
          <cell r="BO43">
            <v>60000</v>
          </cell>
          <cell r="BP43"/>
          <cell r="BQ43"/>
          <cell r="BR43"/>
          <cell r="BS43"/>
          <cell r="BT43"/>
          <cell r="BU43"/>
          <cell r="BV43">
            <v>270000</v>
          </cell>
          <cell r="BW43"/>
          <cell r="BX43"/>
          <cell r="BY43"/>
          <cell r="BZ43"/>
          <cell r="CA43"/>
          <cell r="CB43"/>
          <cell r="CC43"/>
        </row>
        <row r="44">
          <cell r="A44">
            <v>315</v>
          </cell>
          <cell r="B44" t="str">
            <v>Cinéforom soutien complémentaire</v>
          </cell>
          <cell r="C44">
            <v>2715500</v>
          </cell>
          <cell r="D44"/>
          <cell r="E44">
            <v>4200</v>
          </cell>
          <cell r="F44"/>
          <cell r="G44">
            <v>36000</v>
          </cell>
          <cell r="H44"/>
          <cell r="I44">
            <v>43200</v>
          </cell>
          <cell r="J44"/>
          <cell r="K44"/>
          <cell r="L44"/>
          <cell r="M44">
            <v>14400</v>
          </cell>
          <cell r="N44"/>
          <cell r="O44"/>
          <cell r="P44"/>
          <cell r="Q44"/>
          <cell r="R44">
            <v>18000</v>
          </cell>
          <cell r="S44">
            <v>312000</v>
          </cell>
          <cell r="T44"/>
          <cell r="U44">
            <v>19200</v>
          </cell>
          <cell r="V44"/>
          <cell r="W44"/>
          <cell r="X44"/>
          <cell r="Y44"/>
          <cell r="Z44"/>
          <cell r="AA44"/>
          <cell r="AB44"/>
          <cell r="AC44">
            <v>320000</v>
          </cell>
          <cell r="AD44"/>
          <cell r="AE44"/>
          <cell r="AF44"/>
          <cell r="AG44"/>
          <cell r="AH44"/>
          <cell r="AI44"/>
          <cell r="AJ44">
            <v>72000</v>
          </cell>
          <cell r="AK44"/>
          <cell r="AL44"/>
          <cell r="AM44"/>
          <cell r="AN44">
            <v>62400</v>
          </cell>
          <cell r="AO44">
            <v>45600</v>
          </cell>
          <cell r="AP44">
            <v>32000</v>
          </cell>
          <cell r="AQ44"/>
          <cell r="AR44">
            <v>48000</v>
          </cell>
          <cell r="AS44">
            <v>43200</v>
          </cell>
          <cell r="AT44">
            <v>57600</v>
          </cell>
          <cell r="AU44"/>
          <cell r="AV44">
            <v>48000</v>
          </cell>
          <cell r="AW44">
            <v>384000</v>
          </cell>
          <cell r="AX44"/>
          <cell r="AY44"/>
          <cell r="AZ44"/>
          <cell r="BA44"/>
          <cell r="BB44"/>
          <cell r="BC44"/>
          <cell r="BD44"/>
          <cell r="BE44"/>
          <cell r="BF44"/>
          <cell r="BG44">
            <v>3600</v>
          </cell>
          <cell r="BH44">
            <v>288000</v>
          </cell>
          <cell r="BI44"/>
          <cell r="BJ44"/>
          <cell r="BK44"/>
          <cell r="BL44">
            <v>144000</v>
          </cell>
          <cell r="BM44">
            <v>64800</v>
          </cell>
          <cell r="BN44"/>
          <cell r="BO44">
            <v>33600</v>
          </cell>
          <cell r="BP44"/>
          <cell r="BQ44"/>
          <cell r="BR44"/>
          <cell r="BS44"/>
          <cell r="BT44"/>
          <cell r="BU44"/>
          <cell r="BV44">
            <v>312000</v>
          </cell>
          <cell r="BW44"/>
          <cell r="BX44"/>
          <cell r="BY44"/>
          <cell r="BZ44"/>
          <cell r="CA44"/>
          <cell r="CB44"/>
          <cell r="CC44"/>
        </row>
        <row r="45">
          <cell r="A45">
            <v>316</v>
          </cell>
          <cell r="B45" t="str">
            <v>Cinéforom comptes de soutien</v>
          </cell>
          <cell r="C45">
            <v>7250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>
            <v>3250</v>
          </cell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>
            <v>4000</v>
          </cell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</row>
        <row r="46">
          <cell r="A46">
            <v>321</v>
          </cell>
          <cell r="B46" t="str">
            <v>Cantone Ticino DECS</v>
          </cell>
          <cell r="C46">
            <v>235000</v>
          </cell>
          <cell r="D46"/>
          <cell r="E46"/>
          <cell r="F46"/>
          <cell r="G46"/>
          <cell r="H46">
            <v>20000</v>
          </cell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>
            <v>75000</v>
          </cell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>
            <v>60000</v>
          </cell>
          <cell r="AL46">
            <v>45000</v>
          </cell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>
            <v>35000</v>
          </cell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</row>
        <row r="47">
          <cell r="A47">
            <v>322</v>
          </cell>
          <cell r="B47" t="str">
            <v>Cantone Ticino Film Plus</v>
          </cell>
          <cell r="C47">
            <v>491250</v>
          </cell>
          <cell r="D47"/>
          <cell r="E47"/>
          <cell r="F47"/>
          <cell r="G47"/>
          <cell r="H47">
            <v>41250</v>
          </cell>
          <cell r="I47"/>
          <cell r="J47">
            <v>78000</v>
          </cell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>
            <v>160000</v>
          </cell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>
            <v>102000</v>
          </cell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>
            <v>110000</v>
          </cell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</row>
        <row r="48">
          <cell r="A48">
            <v>331</v>
          </cell>
          <cell r="B48" t="str">
            <v>Berner Filmförderung Projektentwicklung</v>
          </cell>
          <cell r="C48">
            <v>264000</v>
          </cell>
          <cell r="D48"/>
          <cell r="E48"/>
          <cell r="F48"/>
          <cell r="G48"/>
          <cell r="H48"/>
          <cell r="I48"/>
          <cell r="J48"/>
          <cell r="K48">
            <v>14000</v>
          </cell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>
            <v>30000</v>
          </cell>
          <cell r="W48"/>
          <cell r="X48">
            <v>25000</v>
          </cell>
          <cell r="Y48">
            <v>50000</v>
          </cell>
          <cell r="Z48"/>
          <cell r="AA48"/>
          <cell r="AB48"/>
          <cell r="AC48"/>
          <cell r="AD48"/>
          <cell r="AE48"/>
          <cell r="AF48"/>
          <cell r="AG48">
            <v>22000</v>
          </cell>
          <cell r="AH48"/>
          <cell r="AI48">
            <v>30000</v>
          </cell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>
            <v>20000</v>
          </cell>
          <cell r="BU48"/>
          <cell r="BV48"/>
          <cell r="BW48"/>
          <cell r="BX48"/>
          <cell r="BY48"/>
          <cell r="BZ48"/>
          <cell r="CA48"/>
          <cell r="CB48"/>
          <cell r="CC48"/>
        </row>
        <row r="49">
          <cell r="A49">
            <v>332</v>
          </cell>
          <cell r="B49" t="str">
            <v>Berner Filmförderung Herstellung</v>
          </cell>
          <cell r="C49">
            <v>2425000</v>
          </cell>
          <cell r="D49"/>
          <cell r="E49"/>
          <cell r="F49"/>
          <cell r="G49"/>
          <cell r="H49"/>
          <cell r="I49"/>
          <cell r="J49"/>
          <cell r="K49">
            <v>110000</v>
          </cell>
          <cell r="L49"/>
          <cell r="M49"/>
          <cell r="N49"/>
          <cell r="O49"/>
          <cell r="P49">
            <v>230000</v>
          </cell>
          <cell r="Q49"/>
          <cell r="R49"/>
          <cell r="S49"/>
          <cell r="T49"/>
          <cell r="U49"/>
          <cell r="V49">
            <v>240000</v>
          </cell>
          <cell r="W49"/>
          <cell r="X49">
            <v>100000</v>
          </cell>
          <cell r="Y49"/>
          <cell r="Z49"/>
          <cell r="AA49"/>
          <cell r="AB49"/>
          <cell r="AC49"/>
          <cell r="AD49"/>
          <cell r="AE49"/>
          <cell r="AF49"/>
          <cell r="AG49">
            <v>125000</v>
          </cell>
          <cell r="AH49"/>
          <cell r="AI49">
            <v>320000</v>
          </cell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>
            <v>750000</v>
          </cell>
          <cell r="BC49"/>
          <cell r="BD49"/>
          <cell r="BE49"/>
          <cell r="BF49"/>
          <cell r="BG49"/>
          <cell r="BH49"/>
          <cell r="BI49"/>
          <cell r="BJ49">
            <v>140000</v>
          </cell>
          <cell r="BK49"/>
          <cell r="BL49"/>
          <cell r="BM49"/>
          <cell r="BN49"/>
          <cell r="BO49"/>
          <cell r="BP49"/>
          <cell r="BQ49"/>
          <cell r="BR49"/>
          <cell r="BS49"/>
          <cell r="BT49">
            <v>40000</v>
          </cell>
          <cell r="BU49"/>
          <cell r="BV49"/>
          <cell r="BW49"/>
          <cell r="BX49"/>
          <cell r="BY49"/>
          <cell r="BZ49">
            <v>320000</v>
          </cell>
          <cell r="CA49"/>
          <cell r="CB49"/>
          <cell r="CC49"/>
        </row>
        <row r="50">
          <cell r="A50">
            <v>341</v>
          </cell>
          <cell r="B50" t="str">
            <v>Region Basel Projektentwicklung</v>
          </cell>
          <cell r="C50">
            <v>125000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>
            <v>12000</v>
          </cell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>
            <v>50000</v>
          </cell>
          <cell r="BE50"/>
          <cell r="BF50"/>
          <cell r="BG50"/>
          <cell r="BH50"/>
          <cell r="BI50"/>
          <cell r="BJ50">
            <v>18000</v>
          </cell>
          <cell r="BK50"/>
          <cell r="BL50"/>
          <cell r="BM50"/>
          <cell r="BN50"/>
          <cell r="BO50"/>
          <cell r="BP50"/>
          <cell r="BQ50"/>
          <cell r="BR50"/>
          <cell r="BS50">
            <v>15000</v>
          </cell>
          <cell r="BT50"/>
          <cell r="BU50"/>
          <cell r="BV50"/>
          <cell r="BW50"/>
          <cell r="BX50"/>
          <cell r="BY50"/>
          <cell r="BZ50"/>
          <cell r="CA50"/>
          <cell r="CB50">
            <v>30000</v>
          </cell>
          <cell r="CC50"/>
        </row>
        <row r="51">
          <cell r="A51">
            <v>342</v>
          </cell>
          <cell r="B51" t="str">
            <v>Region Basel Herstellung</v>
          </cell>
          <cell r="C51">
            <v>1275000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>
            <v>380000</v>
          </cell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>
            <v>30000</v>
          </cell>
          <cell r="AF51"/>
          <cell r="AG51"/>
          <cell r="AH51"/>
          <cell r="AI51">
            <v>50000</v>
          </cell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>
            <v>110000</v>
          </cell>
          <cell r="BE51"/>
          <cell r="BF51"/>
          <cell r="BG51"/>
          <cell r="BH51"/>
          <cell r="BI51"/>
          <cell r="BJ51">
            <v>210000</v>
          </cell>
          <cell r="BK51"/>
          <cell r="BL51"/>
          <cell r="BM51"/>
          <cell r="BN51"/>
          <cell r="BO51"/>
          <cell r="BP51"/>
          <cell r="BQ51">
            <v>90000</v>
          </cell>
          <cell r="BR51"/>
          <cell r="BS51">
            <v>240000</v>
          </cell>
          <cell r="BT51"/>
          <cell r="BU51"/>
          <cell r="BV51"/>
          <cell r="BW51"/>
          <cell r="BX51"/>
          <cell r="BY51"/>
          <cell r="BZ51"/>
          <cell r="CA51"/>
          <cell r="CB51">
            <v>165000</v>
          </cell>
          <cell r="CC51"/>
        </row>
        <row r="52">
          <cell r="A52">
            <v>350</v>
          </cell>
          <cell r="B52" t="str">
            <v>Kanton Aargau</v>
          </cell>
          <cell r="C52">
            <v>242000</v>
          </cell>
          <cell r="D52"/>
          <cell r="E52"/>
          <cell r="F52"/>
          <cell r="G52"/>
          <cell r="H52"/>
          <cell r="I52"/>
          <cell r="J52"/>
          <cell r="K52">
            <v>82000</v>
          </cell>
          <cell r="L52"/>
          <cell r="M52"/>
          <cell r="N52"/>
          <cell r="O52"/>
          <cell r="P52"/>
          <cell r="Q52"/>
          <cell r="R52"/>
          <cell r="S52"/>
          <cell r="T52"/>
          <cell r="U52">
            <v>25000</v>
          </cell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>
            <v>95000</v>
          </cell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>
            <v>40000</v>
          </cell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</row>
        <row r="53">
          <cell r="A53">
            <v>360</v>
          </cell>
          <cell r="B53" t="str">
            <v>Kanton St. Gallen</v>
          </cell>
          <cell r="C53">
            <v>165000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>
            <v>50000</v>
          </cell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>
            <v>55000</v>
          </cell>
          <cell r="BJ53"/>
          <cell r="BK53"/>
          <cell r="BL53"/>
          <cell r="BM53"/>
          <cell r="BN53"/>
          <cell r="BO53"/>
          <cell r="BP53"/>
          <cell r="BQ53"/>
          <cell r="BR53">
            <v>30000</v>
          </cell>
          <cell r="BS53"/>
          <cell r="BT53"/>
          <cell r="BU53">
            <v>30000</v>
          </cell>
          <cell r="BV53"/>
          <cell r="BW53"/>
          <cell r="BX53"/>
          <cell r="BY53"/>
          <cell r="BZ53"/>
          <cell r="CA53"/>
          <cell r="CB53"/>
          <cell r="CC53"/>
        </row>
        <row r="54">
          <cell r="A54">
            <v>370</v>
          </cell>
          <cell r="B54" t="str">
            <v>Zentralschweiz</v>
          </cell>
          <cell r="C54">
            <v>102500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>
            <v>75000</v>
          </cell>
          <cell r="AE54"/>
          <cell r="AF54"/>
          <cell r="AG54"/>
          <cell r="AH54">
            <v>27500</v>
          </cell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</row>
        <row r="55">
          <cell r="A55">
            <v>380</v>
          </cell>
          <cell r="B55" t="str">
            <v>Übrige Kantone</v>
          </cell>
          <cell r="C55">
            <v>525700</v>
          </cell>
          <cell r="D55"/>
          <cell r="E55"/>
          <cell r="F55">
            <v>1500</v>
          </cell>
          <cell r="G55"/>
          <cell r="H55"/>
          <cell r="I55"/>
          <cell r="J55"/>
          <cell r="K55">
            <v>58000</v>
          </cell>
          <cell r="L55"/>
          <cell r="M55"/>
          <cell r="N55"/>
          <cell r="O55"/>
          <cell r="P55">
            <v>5000</v>
          </cell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>
            <v>100000</v>
          </cell>
          <cell r="AI55"/>
          <cell r="AJ55"/>
          <cell r="AK55"/>
          <cell r="AL55"/>
          <cell r="AM55"/>
          <cell r="AN55"/>
          <cell r="AO55"/>
          <cell r="AP55"/>
          <cell r="AQ55"/>
          <cell r="AR55">
            <v>37000</v>
          </cell>
          <cell r="AS55"/>
          <cell r="AT55"/>
          <cell r="AU55"/>
          <cell r="AV55"/>
          <cell r="AW55"/>
          <cell r="AX55"/>
          <cell r="AY55"/>
          <cell r="AZ55">
            <v>25000</v>
          </cell>
          <cell r="BA55"/>
          <cell r="BB55">
            <v>180000</v>
          </cell>
          <cell r="BC55">
            <v>10000</v>
          </cell>
          <cell r="BD55"/>
          <cell r="BE55"/>
          <cell r="BF55"/>
          <cell r="BG55"/>
          <cell r="BH55"/>
          <cell r="BI55"/>
          <cell r="BJ55">
            <v>12000</v>
          </cell>
          <cell r="BK55"/>
          <cell r="BL55"/>
          <cell r="BM55">
            <v>7200</v>
          </cell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</row>
        <row r="56">
          <cell r="A56">
            <v>390</v>
          </cell>
          <cell r="B56" t="str">
            <v>Gemeinden</v>
          </cell>
          <cell r="C56">
            <v>142000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>
            <v>5000</v>
          </cell>
          <cell r="W56"/>
          <cell r="X56"/>
          <cell r="Y56">
            <v>10000</v>
          </cell>
          <cell r="Z56"/>
          <cell r="AA56"/>
          <cell r="AB56"/>
          <cell r="AC56"/>
          <cell r="AD56"/>
          <cell r="AE56"/>
          <cell r="AF56"/>
          <cell r="AG56">
            <v>6000</v>
          </cell>
          <cell r="AH56"/>
          <cell r="AI56">
            <v>15000</v>
          </cell>
          <cell r="AJ56"/>
          <cell r="AK56">
            <v>10000</v>
          </cell>
          <cell r="AL56"/>
          <cell r="AM56"/>
          <cell r="AN56"/>
          <cell r="AO56">
            <v>20000</v>
          </cell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>
            <v>20000</v>
          </cell>
          <cell r="BC56"/>
          <cell r="BD56"/>
          <cell r="BE56"/>
          <cell r="BF56"/>
          <cell r="BG56"/>
          <cell r="BH56"/>
          <cell r="BI56"/>
          <cell r="BJ56"/>
          <cell r="BK56">
            <v>10000</v>
          </cell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>
            <v>25000</v>
          </cell>
          <cell r="CA56"/>
          <cell r="CB56"/>
          <cell r="CC56"/>
        </row>
        <row r="57">
          <cell r="A57"/>
          <cell r="B57" t="str">
            <v>Fernsehen</v>
          </cell>
          <cell r="C57">
            <v>12169958</v>
          </cell>
          <cell r="D57">
            <v>158950</v>
          </cell>
          <cell r="E57">
            <v>30000</v>
          </cell>
          <cell r="F57">
            <v>0</v>
          </cell>
          <cell r="G57">
            <v>207695</v>
          </cell>
          <cell r="H57">
            <v>50000</v>
          </cell>
          <cell r="I57">
            <v>82000</v>
          </cell>
          <cell r="J57">
            <v>180000</v>
          </cell>
          <cell r="K57">
            <v>105000</v>
          </cell>
          <cell r="L57">
            <v>140000</v>
          </cell>
          <cell r="M57">
            <v>30000</v>
          </cell>
          <cell r="N57">
            <v>445000</v>
          </cell>
          <cell r="O57">
            <v>50000</v>
          </cell>
          <cell r="P57">
            <v>97850</v>
          </cell>
          <cell r="Q57">
            <v>615000</v>
          </cell>
          <cell r="R57">
            <v>100000</v>
          </cell>
          <cell r="S57">
            <v>325000</v>
          </cell>
          <cell r="T57">
            <v>17875</v>
          </cell>
          <cell r="U57">
            <v>0</v>
          </cell>
          <cell r="V57">
            <v>40000</v>
          </cell>
          <cell r="W57">
            <v>580000</v>
          </cell>
          <cell r="X57">
            <v>120000</v>
          </cell>
          <cell r="Y57">
            <v>50000</v>
          </cell>
          <cell r="Z57">
            <v>545000</v>
          </cell>
          <cell r="AA57">
            <v>44400</v>
          </cell>
          <cell r="AB57">
            <v>365000</v>
          </cell>
          <cell r="AC57">
            <v>204410</v>
          </cell>
          <cell r="AD57">
            <v>51000</v>
          </cell>
          <cell r="AE57">
            <v>0</v>
          </cell>
          <cell r="AF57">
            <v>206058</v>
          </cell>
          <cell r="AG57">
            <v>40000</v>
          </cell>
          <cell r="AH57">
            <v>80000</v>
          </cell>
          <cell r="AI57">
            <v>103860</v>
          </cell>
          <cell r="AJ57">
            <v>80000</v>
          </cell>
          <cell r="AK57">
            <v>204945</v>
          </cell>
          <cell r="AL57">
            <v>190000</v>
          </cell>
          <cell r="AM57">
            <v>0</v>
          </cell>
          <cell r="AN57">
            <v>196178</v>
          </cell>
          <cell r="AO57">
            <v>153220</v>
          </cell>
          <cell r="AP57">
            <v>100000</v>
          </cell>
          <cell r="AQ57">
            <v>150000</v>
          </cell>
          <cell r="AR57">
            <v>100000</v>
          </cell>
          <cell r="AS57">
            <v>105000</v>
          </cell>
          <cell r="AT57">
            <v>20000</v>
          </cell>
          <cell r="AU57">
            <v>200000</v>
          </cell>
          <cell r="AV57">
            <v>100000</v>
          </cell>
          <cell r="AW57">
            <v>420000</v>
          </cell>
          <cell r="AX57">
            <v>36000</v>
          </cell>
          <cell r="AY57">
            <v>30000</v>
          </cell>
          <cell r="AZ57">
            <v>0</v>
          </cell>
          <cell r="BA57">
            <v>50000</v>
          </cell>
          <cell r="BB57">
            <v>544350</v>
          </cell>
          <cell r="BC57">
            <v>66000</v>
          </cell>
          <cell r="BD57">
            <v>70000</v>
          </cell>
          <cell r="BE57">
            <v>142000</v>
          </cell>
          <cell r="BF57">
            <v>0</v>
          </cell>
          <cell r="BG57">
            <v>30000</v>
          </cell>
          <cell r="BH57">
            <v>150000</v>
          </cell>
          <cell r="BI57">
            <v>145000</v>
          </cell>
          <cell r="BJ57">
            <v>166422</v>
          </cell>
          <cell r="BK57">
            <v>82195</v>
          </cell>
          <cell r="BL57">
            <v>150000</v>
          </cell>
          <cell r="BM57">
            <v>282500</v>
          </cell>
          <cell r="BN57">
            <v>18000</v>
          </cell>
          <cell r="BO57">
            <v>80000</v>
          </cell>
          <cell r="BP57">
            <v>22070</v>
          </cell>
          <cell r="BQ57">
            <v>425000</v>
          </cell>
          <cell r="BR57">
            <v>0</v>
          </cell>
          <cell r="BS57">
            <v>85000</v>
          </cell>
          <cell r="BT57">
            <v>0</v>
          </cell>
          <cell r="BU57">
            <v>46075</v>
          </cell>
          <cell r="BV57">
            <v>200000</v>
          </cell>
          <cell r="BW57">
            <v>11360</v>
          </cell>
          <cell r="BX57">
            <v>95470</v>
          </cell>
          <cell r="BY57">
            <v>525000</v>
          </cell>
          <cell r="BZ57">
            <v>160000</v>
          </cell>
          <cell r="CA57">
            <v>82650</v>
          </cell>
          <cell r="CB57">
            <v>70000</v>
          </cell>
          <cell r="CC57">
            <v>562000</v>
          </cell>
        </row>
        <row r="58">
          <cell r="A58">
            <v>410</v>
          </cell>
          <cell r="B58" t="str">
            <v>SRG Projektentwicklung</v>
          </cell>
          <cell r="C58">
            <v>175000</v>
          </cell>
          <cell r="D58"/>
          <cell r="E58"/>
          <cell r="F58"/>
          <cell r="G58"/>
          <cell r="H58"/>
          <cell r="I58"/>
          <cell r="J58">
            <v>10000</v>
          </cell>
          <cell r="K58"/>
          <cell r="L58"/>
          <cell r="M58"/>
          <cell r="N58"/>
          <cell r="O58"/>
          <cell r="P58"/>
          <cell r="Q58">
            <v>10000</v>
          </cell>
          <cell r="R58"/>
          <cell r="S58"/>
          <cell r="T58"/>
          <cell r="U58"/>
          <cell r="V58"/>
          <cell r="W58">
            <v>10000</v>
          </cell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>
            <v>10000</v>
          </cell>
          <cell r="AM58"/>
          <cell r="AN58"/>
          <cell r="AO58"/>
          <cell r="AP58"/>
          <cell r="AQ58"/>
          <cell r="AR58"/>
          <cell r="AS58">
            <v>10000</v>
          </cell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>
            <v>10000</v>
          </cell>
          <cell r="BF58"/>
          <cell r="BG58"/>
          <cell r="BH58"/>
          <cell r="BI58"/>
          <cell r="BJ58"/>
          <cell r="BK58"/>
          <cell r="BL58"/>
          <cell r="BM58">
            <v>25000</v>
          </cell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</row>
        <row r="59">
          <cell r="A59">
            <v>415</v>
          </cell>
          <cell r="B59" t="str">
            <v>SRG Projektentwicklung Hors Pacte</v>
          </cell>
          <cell r="C59">
            <v>265000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>
            <v>175000</v>
          </cell>
          <cell r="BZ59"/>
          <cell r="CA59"/>
          <cell r="CB59"/>
          <cell r="CC59"/>
        </row>
        <row r="60">
          <cell r="A60">
            <v>420</v>
          </cell>
          <cell r="B60" t="str">
            <v>SRG Pacte Koproduktionsbeitrag</v>
          </cell>
          <cell r="C60">
            <v>5731000</v>
          </cell>
          <cell r="D60">
            <v>76250</v>
          </cell>
          <cell r="E60">
            <v>15000</v>
          </cell>
          <cell r="F60"/>
          <cell r="G60">
            <v>60000</v>
          </cell>
          <cell r="H60">
            <v>25000</v>
          </cell>
          <cell r="I60">
            <v>35000</v>
          </cell>
          <cell r="J60">
            <v>60000</v>
          </cell>
          <cell r="K60">
            <v>40000</v>
          </cell>
          <cell r="L60">
            <v>40000</v>
          </cell>
          <cell r="M60">
            <v>15000</v>
          </cell>
          <cell r="N60">
            <v>150000</v>
          </cell>
          <cell r="O60">
            <v>15000</v>
          </cell>
          <cell r="P60">
            <v>60000</v>
          </cell>
          <cell r="Q60">
            <v>450000</v>
          </cell>
          <cell r="R60">
            <v>100000</v>
          </cell>
          <cell r="S60">
            <v>100000</v>
          </cell>
          <cell r="T60"/>
          <cell r="U60"/>
          <cell r="V60"/>
          <cell r="W60">
            <v>175000</v>
          </cell>
          <cell r="X60">
            <v>100000</v>
          </cell>
          <cell r="Y60">
            <v>50000</v>
          </cell>
          <cell r="Z60">
            <v>170000</v>
          </cell>
          <cell r="AA60">
            <v>20000</v>
          </cell>
          <cell r="AB60">
            <v>150000</v>
          </cell>
          <cell r="AC60">
            <v>200000</v>
          </cell>
          <cell r="AD60">
            <v>40000</v>
          </cell>
          <cell r="AE60"/>
          <cell r="AF60">
            <v>60000</v>
          </cell>
          <cell r="AG60">
            <v>35000</v>
          </cell>
          <cell r="AH60">
            <v>30000</v>
          </cell>
          <cell r="AI60"/>
          <cell r="AJ60">
            <v>48000</v>
          </cell>
          <cell r="AK60"/>
          <cell r="AL60">
            <v>91000</v>
          </cell>
          <cell r="AM60"/>
          <cell r="AN60">
            <v>130000</v>
          </cell>
          <cell r="AO60">
            <v>47500</v>
          </cell>
          <cell r="AP60">
            <v>40000</v>
          </cell>
          <cell r="AQ60">
            <v>150000</v>
          </cell>
          <cell r="AR60">
            <v>100000</v>
          </cell>
          <cell r="AS60">
            <v>90000</v>
          </cell>
          <cell r="AT60"/>
          <cell r="AU60">
            <v>200000</v>
          </cell>
          <cell r="AV60">
            <v>50000</v>
          </cell>
          <cell r="AW60">
            <v>150000</v>
          </cell>
          <cell r="AX60"/>
          <cell r="AY60">
            <v>30000</v>
          </cell>
          <cell r="AZ60"/>
          <cell r="BA60">
            <v>50000</v>
          </cell>
          <cell r="BB60">
            <v>175000</v>
          </cell>
          <cell r="BC60">
            <v>30000</v>
          </cell>
          <cell r="BD60">
            <v>70000</v>
          </cell>
          <cell r="BE60">
            <v>40000</v>
          </cell>
          <cell r="BF60"/>
          <cell r="BG60">
            <v>15000</v>
          </cell>
          <cell r="BH60">
            <v>150000</v>
          </cell>
          <cell r="BI60">
            <v>100000</v>
          </cell>
          <cell r="BJ60">
            <v>80000</v>
          </cell>
          <cell r="BK60">
            <v>60000</v>
          </cell>
          <cell r="BL60">
            <v>75000</v>
          </cell>
          <cell r="BM60">
            <v>135000</v>
          </cell>
          <cell r="BN60"/>
          <cell r="BO60">
            <v>70000</v>
          </cell>
          <cell r="BP60"/>
          <cell r="BQ60">
            <v>270000</v>
          </cell>
          <cell r="BR60"/>
          <cell r="BS60">
            <v>80000</v>
          </cell>
          <cell r="BT60"/>
          <cell r="BU60"/>
          <cell r="BV60">
            <v>100000</v>
          </cell>
          <cell r="BW60"/>
          <cell r="BX60">
            <v>40000</v>
          </cell>
          <cell r="BY60"/>
          <cell r="BZ60"/>
          <cell r="CA60">
            <v>30000</v>
          </cell>
          <cell r="CB60">
            <v>70000</v>
          </cell>
          <cell r="CC60">
            <v>430000</v>
          </cell>
        </row>
        <row r="61">
          <cell r="A61">
            <v>430</v>
          </cell>
          <cell r="B61" t="str">
            <v>SRG Herstellung Hors Pacte</v>
          </cell>
          <cell r="C61">
            <v>279000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>
            <v>100000</v>
          </cell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>
            <v>20000</v>
          </cell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>
            <v>36000</v>
          </cell>
          <cell r="AY61"/>
          <cell r="AZ61"/>
          <cell r="BA61"/>
          <cell r="BB61"/>
          <cell r="BC61"/>
          <cell r="BD61"/>
          <cell r="BE61">
            <v>20000</v>
          </cell>
          <cell r="BF61"/>
          <cell r="BG61"/>
          <cell r="BH61"/>
          <cell r="BI61"/>
          <cell r="BJ61"/>
          <cell r="BK61"/>
          <cell r="BL61"/>
          <cell r="BM61">
            <v>80000</v>
          </cell>
          <cell r="BN61">
            <v>18000</v>
          </cell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</row>
        <row r="62">
          <cell r="A62">
            <v>440</v>
          </cell>
          <cell r="B62" t="str">
            <v>SRG Vorverkauf</v>
          </cell>
          <cell r="C62">
            <v>495000</v>
          </cell>
          <cell r="D62"/>
          <cell r="E62">
            <v>15000</v>
          </cell>
          <cell r="F62"/>
          <cell r="G62"/>
          <cell r="H62"/>
          <cell r="I62"/>
          <cell r="J62"/>
          <cell r="K62"/>
          <cell r="L62">
            <v>40000</v>
          </cell>
          <cell r="M62"/>
          <cell r="N62">
            <v>150000</v>
          </cell>
          <cell r="O62"/>
          <cell r="P62"/>
          <cell r="Q62"/>
          <cell r="R62"/>
          <cell r="S62"/>
          <cell r="T62"/>
          <cell r="U62"/>
          <cell r="V62"/>
          <cell r="W62">
            <v>175000</v>
          </cell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>
            <v>40000</v>
          </cell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>
            <v>75000</v>
          </cell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</row>
        <row r="63">
          <cell r="A63">
            <v>450</v>
          </cell>
          <cell r="B63" t="str">
            <v>SRG Sachleistungen</v>
          </cell>
          <cell r="C63">
            <v>172500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>
            <v>150000</v>
          </cell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>
            <v>22500</v>
          </cell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</row>
        <row r="64">
          <cell r="A64">
            <v>460</v>
          </cell>
          <cell r="B64" t="str">
            <v>Succès Passage Antenne</v>
          </cell>
          <cell r="C64">
            <v>1899698</v>
          </cell>
          <cell r="D64">
            <v>6450</v>
          </cell>
          <cell r="E64"/>
          <cell r="F64"/>
          <cell r="G64">
            <v>117695</v>
          </cell>
          <cell r="H64"/>
          <cell r="I64">
            <v>12000</v>
          </cell>
          <cell r="J64">
            <v>50000</v>
          </cell>
          <cell r="K64">
            <v>25000</v>
          </cell>
          <cell r="L64">
            <v>35000</v>
          </cell>
          <cell r="M64"/>
          <cell r="N64">
            <v>45000</v>
          </cell>
          <cell r="O64">
            <v>20000</v>
          </cell>
          <cell r="P64">
            <v>37850</v>
          </cell>
          <cell r="Q64">
            <v>80000</v>
          </cell>
          <cell r="R64"/>
          <cell r="S64">
            <v>35000</v>
          </cell>
          <cell r="T64">
            <v>17875</v>
          </cell>
          <cell r="U64"/>
          <cell r="V64">
            <v>40000</v>
          </cell>
          <cell r="W64">
            <v>70000</v>
          </cell>
          <cell r="X64">
            <v>20000</v>
          </cell>
          <cell r="Y64"/>
          <cell r="Z64">
            <v>105000</v>
          </cell>
          <cell r="AA64">
            <v>4400</v>
          </cell>
          <cell r="AB64"/>
          <cell r="AC64"/>
          <cell r="AD64">
            <v>11000</v>
          </cell>
          <cell r="AE64"/>
          <cell r="AF64">
            <v>86058</v>
          </cell>
          <cell r="AG64">
            <v>5000</v>
          </cell>
          <cell r="AH64"/>
          <cell r="AI64">
            <v>18860</v>
          </cell>
          <cell r="AJ64"/>
          <cell r="AK64">
            <v>4945</v>
          </cell>
          <cell r="AL64">
            <v>35000</v>
          </cell>
          <cell r="AM64"/>
          <cell r="AN64">
            <v>66178</v>
          </cell>
          <cell r="AO64">
            <v>58220</v>
          </cell>
          <cell r="AP64">
            <v>20000</v>
          </cell>
          <cell r="AQ64"/>
          <cell r="AR64"/>
          <cell r="AS64">
            <v>5000</v>
          </cell>
          <cell r="AT64">
            <v>20000</v>
          </cell>
          <cell r="AU64"/>
          <cell r="AV64"/>
          <cell r="AW64">
            <v>40000</v>
          </cell>
          <cell r="AX64"/>
          <cell r="AY64"/>
          <cell r="AZ64"/>
          <cell r="BA64"/>
          <cell r="BB64">
            <v>103000</v>
          </cell>
          <cell r="BC64">
            <v>6000</v>
          </cell>
          <cell r="BD64"/>
          <cell r="BE64">
            <v>12000</v>
          </cell>
          <cell r="BF64"/>
          <cell r="BG64"/>
          <cell r="BH64"/>
          <cell r="BI64">
            <v>45000</v>
          </cell>
          <cell r="BJ64">
            <v>22422</v>
          </cell>
          <cell r="BK64">
            <v>22195</v>
          </cell>
          <cell r="BL64"/>
          <cell r="BM64">
            <v>20000</v>
          </cell>
          <cell r="BN64"/>
          <cell r="BO64"/>
          <cell r="BP64">
            <v>22070</v>
          </cell>
          <cell r="BQ64">
            <v>70000</v>
          </cell>
          <cell r="BR64"/>
          <cell r="BS64">
            <v>5000</v>
          </cell>
          <cell r="BT64"/>
          <cell r="BU64">
            <v>46075</v>
          </cell>
          <cell r="BV64"/>
          <cell r="BW64">
            <v>11360</v>
          </cell>
          <cell r="BX64">
            <v>15470</v>
          </cell>
          <cell r="BY64">
            <v>70000</v>
          </cell>
          <cell r="BZ64">
            <v>80000</v>
          </cell>
          <cell r="CA64">
            <v>22650</v>
          </cell>
          <cell r="CB64"/>
          <cell r="CC64">
            <v>20000</v>
          </cell>
        </row>
        <row r="65">
          <cell r="A65">
            <v>465</v>
          </cell>
          <cell r="B65" t="str">
            <v>Succès Passage Antenne Koproduzent</v>
          </cell>
          <cell r="C65">
            <v>111760</v>
          </cell>
          <cell r="D65"/>
          <cell r="E65"/>
          <cell r="F65"/>
          <cell r="G65"/>
          <cell r="H65"/>
          <cell r="I65"/>
          <cell r="J65"/>
          <cell r="K65"/>
          <cell r="L65">
            <v>10000</v>
          </cell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>
            <v>4410</v>
          </cell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>
            <v>16350</v>
          </cell>
          <cell r="BC65"/>
          <cell r="BD65"/>
          <cell r="BE65"/>
          <cell r="BF65"/>
          <cell r="BG65"/>
          <cell r="BH65"/>
          <cell r="BI65"/>
          <cell r="BJ65">
            <v>64000</v>
          </cell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>
            <v>17000</v>
          </cell>
        </row>
        <row r="66">
          <cell r="A66">
            <v>470</v>
          </cell>
          <cell r="B66" t="str">
            <v>Senderechte SRG</v>
          </cell>
          <cell r="C66">
            <v>1900800</v>
          </cell>
          <cell r="D66">
            <v>76250</v>
          </cell>
          <cell r="E66"/>
          <cell r="F66"/>
          <cell r="G66">
            <v>30000</v>
          </cell>
          <cell r="H66">
            <v>25000</v>
          </cell>
          <cell r="I66">
            <v>35000</v>
          </cell>
          <cell r="J66">
            <v>60000</v>
          </cell>
          <cell r="K66">
            <v>40000</v>
          </cell>
          <cell r="L66"/>
          <cell r="M66">
            <v>15000</v>
          </cell>
          <cell r="N66"/>
          <cell r="O66">
            <v>15000</v>
          </cell>
          <cell r="P66"/>
          <cell r="Q66"/>
          <cell r="R66"/>
          <cell r="S66">
            <v>100000</v>
          </cell>
          <cell r="T66"/>
          <cell r="U66"/>
          <cell r="V66"/>
          <cell r="W66"/>
          <cell r="X66"/>
          <cell r="Y66"/>
          <cell r="Z66">
            <v>170000</v>
          </cell>
          <cell r="AA66">
            <v>20000</v>
          </cell>
          <cell r="AB66">
            <v>150000</v>
          </cell>
          <cell r="AC66"/>
          <cell r="AD66"/>
          <cell r="AE66"/>
          <cell r="AF66">
            <v>60000</v>
          </cell>
          <cell r="AG66"/>
          <cell r="AH66">
            <v>30000</v>
          </cell>
          <cell r="AI66"/>
          <cell r="AJ66">
            <v>32000</v>
          </cell>
          <cell r="AK66">
            <v>50000</v>
          </cell>
          <cell r="AL66">
            <v>54000</v>
          </cell>
          <cell r="AM66"/>
          <cell r="AN66"/>
          <cell r="AO66">
            <v>47500</v>
          </cell>
          <cell r="AP66"/>
          <cell r="AQ66"/>
          <cell r="AR66"/>
          <cell r="AS66"/>
          <cell r="AT66"/>
          <cell r="AU66"/>
          <cell r="AV66">
            <v>50000</v>
          </cell>
          <cell r="AW66">
            <v>150000</v>
          </cell>
          <cell r="AX66"/>
          <cell r="AY66"/>
          <cell r="AZ66"/>
          <cell r="BA66"/>
          <cell r="BB66">
            <v>175000</v>
          </cell>
          <cell r="BC66">
            <v>30000</v>
          </cell>
          <cell r="BD66"/>
          <cell r="BE66">
            <v>60000</v>
          </cell>
          <cell r="BF66"/>
          <cell r="BG66">
            <v>15000</v>
          </cell>
          <cell r="BH66"/>
          <cell r="BI66"/>
          <cell r="BJ66"/>
          <cell r="BK66"/>
          <cell r="BL66"/>
          <cell r="BM66"/>
          <cell r="BN66"/>
          <cell r="BO66">
            <v>10000</v>
          </cell>
          <cell r="BP66"/>
          <cell r="BQ66"/>
          <cell r="BR66"/>
          <cell r="BS66"/>
          <cell r="BT66"/>
          <cell r="BU66"/>
          <cell r="BV66">
            <v>100000</v>
          </cell>
          <cell r="BW66"/>
          <cell r="BX66">
            <v>40000</v>
          </cell>
          <cell r="BY66">
            <v>175000</v>
          </cell>
          <cell r="BZ66"/>
          <cell r="CA66">
            <v>30000</v>
          </cell>
          <cell r="CB66"/>
          <cell r="CC66"/>
        </row>
        <row r="67">
          <cell r="A67">
            <v>481</v>
          </cell>
          <cell r="B67" t="str">
            <v>Arte/SRG</v>
          </cell>
          <cell r="C67">
            <v>25200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</row>
        <row r="68">
          <cell r="A68">
            <v>482</v>
          </cell>
          <cell r="B68" t="str">
            <v>3Sat</v>
          </cell>
          <cell r="C68">
            <v>45000</v>
          </cell>
          <cell r="D68"/>
          <cell r="E68"/>
          <cell r="F68"/>
          <cell r="G68"/>
          <cell r="H68"/>
          <cell r="I68"/>
          <cell r="J68"/>
          <cell r="K68"/>
          <cell r="L68">
            <v>15000</v>
          </cell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>
            <v>15000</v>
          </cell>
        </row>
        <row r="69">
          <cell r="A69">
            <v>483</v>
          </cell>
          <cell r="B69" t="str">
            <v>TV5 Monde</v>
          </cell>
          <cell r="C69">
            <v>0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</row>
        <row r="70">
          <cell r="A70">
            <v>484</v>
          </cell>
          <cell r="B70" t="str">
            <v>Teleclub</v>
          </cell>
          <cell r="C70">
            <v>1070000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>
            <v>100000</v>
          </cell>
          <cell r="O70"/>
          <cell r="P70"/>
          <cell r="Q70">
            <v>75000</v>
          </cell>
          <cell r="R70"/>
          <cell r="S70">
            <v>90000</v>
          </cell>
          <cell r="T70"/>
          <cell r="U70"/>
          <cell r="V70"/>
          <cell r="W70">
            <v>50000</v>
          </cell>
          <cell r="X70"/>
          <cell r="Y70"/>
          <cell r="Z70">
            <v>100000</v>
          </cell>
          <cell r="AA70"/>
          <cell r="AB70">
            <v>65000</v>
          </cell>
          <cell r="AC70"/>
          <cell r="AD70"/>
          <cell r="AE70"/>
          <cell r="AF70"/>
          <cell r="AG70"/>
          <cell r="AH70"/>
          <cell r="AI70">
            <v>85000</v>
          </cell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>
            <v>80000</v>
          </cell>
          <cell r="AX70"/>
          <cell r="AY70"/>
          <cell r="AZ70"/>
          <cell r="BA70"/>
          <cell r="BB70">
            <v>75000</v>
          </cell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>
            <v>85000</v>
          </cell>
          <cell r="BR70"/>
          <cell r="BS70"/>
          <cell r="BT70"/>
          <cell r="BU70"/>
          <cell r="BV70"/>
          <cell r="BW70"/>
          <cell r="BX70"/>
          <cell r="BY70">
            <v>105000</v>
          </cell>
          <cell r="BZ70">
            <v>80000</v>
          </cell>
          <cell r="CA70"/>
          <cell r="CB70"/>
          <cell r="CC70">
            <v>80000</v>
          </cell>
        </row>
        <row r="71">
          <cell r="A71">
            <v>490</v>
          </cell>
          <cell r="B71" t="str">
            <v>Übrige Fernsehen Koproduktion</v>
          </cell>
          <cell r="C71">
            <v>0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</row>
        <row r="72">
          <cell r="A72">
            <v>495</v>
          </cell>
          <cell r="B72" t="str">
            <v>Übrige Fernsehen Senderechte</v>
          </cell>
          <cell r="C72">
            <v>0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</row>
        <row r="73">
          <cell r="A73"/>
          <cell r="B73" t="str">
            <v>Auswertung</v>
          </cell>
          <cell r="C73">
            <v>1454916</v>
          </cell>
          <cell r="D73">
            <v>18561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15600</v>
          </cell>
          <cell r="J73">
            <v>5000</v>
          </cell>
          <cell r="K73">
            <v>0</v>
          </cell>
          <cell r="L73">
            <v>0</v>
          </cell>
          <cell r="M73">
            <v>0</v>
          </cell>
          <cell r="N73">
            <v>30000</v>
          </cell>
          <cell r="O73">
            <v>0</v>
          </cell>
          <cell r="P73">
            <v>0</v>
          </cell>
          <cell r="Q73">
            <v>80000</v>
          </cell>
          <cell r="R73">
            <v>0</v>
          </cell>
          <cell r="S73">
            <v>28224</v>
          </cell>
          <cell r="T73">
            <v>0</v>
          </cell>
          <cell r="U73">
            <v>10000</v>
          </cell>
          <cell r="V73">
            <v>5000</v>
          </cell>
          <cell r="W73">
            <v>0</v>
          </cell>
          <cell r="X73">
            <v>320000</v>
          </cell>
          <cell r="Y73">
            <v>0</v>
          </cell>
          <cell r="Z73">
            <v>20000</v>
          </cell>
          <cell r="AA73">
            <v>0</v>
          </cell>
          <cell r="AB73">
            <v>0</v>
          </cell>
          <cell r="AC73">
            <v>73600</v>
          </cell>
          <cell r="AD73">
            <v>0</v>
          </cell>
          <cell r="AE73">
            <v>0</v>
          </cell>
          <cell r="AF73">
            <v>20000</v>
          </cell>
          <cell r="AG73">
            <v>0</v>
          </cell>
          <cell r="AH73">
            <v>10000</v>
          </cell>
          <cell r="AI73">
            <v>20000</v>
          </cell>
          <cell r="AJ73">
            <v>0</v>
          </cell>
          <cell r="AK73">
            <v>39537</v>
          </cell>
          <cell r="AL73">
            <v>20000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26683</v>
          </cell>
          <cell r="AV73">
            <v>0</v>
          </cell>
          <cell r="AW73">
            <v>100000</v>
          </cell>
          <cell r="AX73">
            <v>25000</v>
          </cell>
          <cell r="AY73">
            <v>0</v>
          </cell>
          <cell r="AZ73">
            <v>5000</v>
          </cell>
          <cell r="BA73">
            <v>0</v>
          </cell>
          <cell r="BB73">
            <v>50000</v>
          </cell>
          <cell r="BC73">
            <v>0</v>
          </cell>
          <cell r="BD73">
            <v>5000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20000</v>
          </cell>
          <cell r="BJ73">
            <v>0</v>
          </cell>
          <cell r="BK73">
            <v>0</v>
          </cell>
          <cell r="BL73">
            <v>20000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30000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16272</v>
          </cell>
          <cell r="BY73">
            <v>130000</v>
          </cell>
          <cell r="BZ73">
            <v>10000</v>
          </cell>
          <cell r="CA73">
            <v>10000</v>
          </cell>
          <cell r="CB73">
            <v>0</v>
          </cell>
          <cell r="CC73">
            <v>300000</v>
          </cell>
        </row>
        <row r="74">
          <cell r="A74">
            <v>510</v>
          </cell>
          <cell r="B74" t="str">
            <v>Verleiher national</v>
          </cell>
          <cell r="C74">
            <v>965137</v>
          </cell>
          <cell r="D74">
            <v>10000</v>
          </cell>
          <cell r="E74"/>
          <cell r="F74"/>
          <cell r="G74"/>
          <cell r="H74"/>
          <cell r="I74">
            <v>15600</v>
          </cell>
          <cell r="J74">
            <v>5000</v>
          </cell>
          <cell r="K74"/>
          <cell r="L74"/>
          <cell r="M74"/>
          <cell r="N74">
            <v>30000</v>
          </cell>
          <cell r="O74"/>
          <cell r="P74"/>
          <cell r="Q74">
            <v>80000</v>
          </cell>
          <cell r="R74"/>
          <cell r="S74">
            <v>10000</v>
          </cell>
          <cell r="T74"/>
          <cell r="U74">
            <v>10000</v>
          </cell>
          <cell r="V74">
            <v>5000</v>
          </cell>
          <cell r="W74"/>
          <cell r="X74">
            <v>20000</v>
          </cell>
          <cell r="Y74"/>
          <cell r="Z74">
            <v>20000</v>
          </cell>
          <cell r="AA74"/>
          <cell r="AB74"/>
          <cell r="AC74">
            <v>30000</v>
          </cell>
          <cell r="AD74"/>
          <cell r="AE74"/>
          <cell r="AF74"/>
          <cell r="AG74"/>
          <cell r="AH74">
            <v>10000</v>
          </cell>
          <cell r="AI74">
            <v>20000</v>
          </cell>
          <cell r="AJ74"/>
          <cell r="AK74">
            <v>14537</v>
          </cell>
          <cell r="AL74">
            <v>20000</v>
          </cell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>
            <v>100000</v>
          </cell>
          <cell r="AX74">
            <v>25000</v>
          </cell>
          <cell r="AY74"/>
          <cell r="AZ74">
            <v>5000</v>
          </cell>
          <cell r="BA74"/>
          <cell r="BB74">
            <v>50000</v>
          </cell>
          <cell r="BC74"/>
          <cell r="BD74">
            <v>5000</v>
          </cell>
          <cell r="BE74"/>
          <cell r="BF74"/>
          <cell r="BG74"/>
          <cell r="BH74"/>
          <cell r="BI74">
            <v>20000</v>
          </cell>
          <cell r="BJ74"/>
          <cell r="BK74"/>
          <cell r="BL74">
            <v>20000</v>
          </cell>
          <cell r="BM74"/>
          <cell r="BN74"/>
          <cell r="BO74"/>
          <cell r="BP74"/>
          <cell r="BQ74">
            <v>30000</v>
          </cell>
          <cell r="BR74"/>
          <cell r="BS74"/>
          <cell r="BT74"/>
          <cell r="BU74"/>
          <cell r="BV74"/>
          <cell r="BW74"/>
          <cell r="BX74">
            <v>10000</v>
          </cell>
          <cell r="BY74">
            <v>130000</v>
          </cell>
          <cell r="BZ74">
            <v>10000</v>
          </cell>
          <cell r="CA74">
            <v>10000</v>
          </cell>
          <cell r="CB74"/>
          <cell r="CC74">
            <v>250000</v>
          </cell>
        </row>
        <row r="75">
          <cell r="A75">
            <v>520</v>
          </cell>
          <cell r="B75" t="str">
            <v>DVD national</v>
          </cell>
          <cell r="C75">
            <v>25000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>
            <v>25000</v>
          </cell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</row>
        <row r="76">
          <cell r="A76">
            <v>530</v>
          </cell>
          <cell r="B76" t="str">
            <v>VOD/SVOD national</v>
          </cell>
          <cell r="C76">
            <v>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</row>
        <row r="77">
          <cell r="A77">
            <v>540</v>
          </cell>
          <cell r="B77" t="str">
            <v>Übrige Vorverkäufe national</v>
          </cell>
          <cell r="C77">
            <v>0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</row>
        <row r="78">
          <cell r="A78">
            <v>550</v>
          </cell>
          <cell r="B78" t="str">
            <v>World Sales</v>
          </cell>
          <cell r="C78">
            <v>446555</v>
          </cell>
          <cell r="D78">
            <v>8561</v>
          </cell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>
            <v>300000</v>
          </cell>
          <cell r="Y78"/>
          <cell r="Z78"/>
          <cell r="AA78"/>
          <cell r="AB78"/>
          <cell r="AC78">
            <v>43600</v>
          </cell>
          <cell r="AD78"/>
          <cell r="AE78"/>
          <cell r="AF78">
            <v>20000</v>
          </cell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>
            <v>26683</v>
          </cell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>
            <v>6272</v>
          </cell>
          <cell r="BY78"/>
          <cell r="BZ78"/>
          <cell r="CA78"/>
          <cell r="CB78"/>
          <cell r="CC78">
            <v>50000</v>
          </cell>
        </row>
        <row r="79">
          <cell r="A79">
            <v>560</v>
          </cell>
          <cell r="B79" t="str">
            <v>Verleiher international</v>
          </cell>
          <cell r="C79">
            <v>18224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>
            <v>18224</v>
          </cell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</row>
        <row r="80">
          <cell r="A80">
            <v>570</v>
          </cell>
          <cell r="B80" t="str">
            <v>DVD international</v>
          </cell>
          <cell r="C80">
            <v>0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</row>
        <row r="81">
          <cell r="A81">
            <v>580</v>
          </cell>
          <cell r="B81" t="str">
            <v>VOD/SVOD international</v>
          </cell>
          <cell r="C81">
            <v>0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</row>
        <row r="82">
          <cell r="A82">
            <v>590</v>
          </cell>
          <cell r="B82" t="str">
            <v>Übrige Vorverkäufe international</v>
          </cell>
          <cell r="C82">
            <v>0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</row>
        <row r="83">
          <cell r="A83"/>
          <cell r="B83" t="str">
            <v>Nationale Koproduzenten</v>
          </cell>
          <cell r="C83">
            <v>1363641</v>
          </cell>
          <cell r="D83">
            <v>0</v>
          </cell>
          <cell r="E83">
            <v>0</v>
          </cell>
          <cell r="F83">
            <v>66275</v>
          </cell>
          <cell r="G83">
            <v>46233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87500</v>
          </cell>
          <cell r="N83">
            <v>0</v>
          </cell>
          <cell r="O83">
            <v>0</v>
          </cell>
          <cell r="P83">
            <v>50000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6428</v>
          </cell>
          <cell r="Y83">
            <v>21000</v>
          </cell>
          <cell r="Z83">
            <v>77727</v>
          </cell>
          <cell r="AA83">
            <v>0</v>
          </cell>
          <cell r="AB83">
            <v>0</v>
          </cell>
          <cell r="AC83">
            <v>0</v>
          </cell>
          <cell r="AD83">
            <v>8000</v>
          </cell>
          <cell r="AE83">
            <v>42660</v>
          </cell>
          <cell r="AF83">
            <v>20000</v>
          </cell>
          <cell r="AG83">
            <v>0</v>
          </cell>
          <cell r="AH83">
            <v>20000</v>
          </cell>
          <cell r="AI83">
            <v>0</v>
          </cell>
          <cell r="AJ83">
            <v>0</v>
          </cell>
          <cell r="AK83">
            <v>34200</v>
          </cell>
          <cell r="AL83">
            <v>20000</v>
          </cell>
          <cell r="AM83">
            <v>87000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35000</v>
          </cell>
          <cell r="AS83">
            <v>0</v>
          </cell>
          <cell r="AT83">
            <v>9000</v>
          </cell>
          <cell r="AU83">
            <v>0</v>
          </cell>
          <cell r="AV83">
            <v>0</v>
          </cell>
          <cell r="AW83">
            <v>0</v>
          </cell>
          <cell r="AX83">
            <v>6000</v>
          </cell>
          <cell r="AY83">
            <v>0</v>
          </cell>
          <cell r="AZ83">
            <v>112500</v>
          </cell>
          <cell r="BA83">
            <v>0</v>
          </cell>
          <cell r="BB83">
            <v>26550</v>
          </cell>
          <cell r="BC83">
            <v>0</v>
          </cell>
          <cell r="BD83">
            <v>10000</v>
          </cell>
          <cell r="BE83">
            <v>0</v>
          </cell>
          <cell r="BF83">
            <v>166320</v>
          </cell>
          <cell r="BG83">
            <v>0</v>
          </cell>
          <cell r="BH83">
            <v>39000</v>
          </cell>
          <cell r="BI83">
            <v>146000</v>
          </cell>
          <cell r="BJ83">
            <v>2989</v>
          </cell>
          <cell r="BK83">
            <v>0</v>
          </cell>
          <cell r="BL83">
            <v>0</v>
          </cell>
          <cell r="BM83">
            <v>0</v>
          </cell>
          <cell r="BN83">
            <v>15000</v>
          </cell>
          <cell r="BO83">
            <v>20000</v>
          </cell>
          <cell r="BP83">
            <v>40000</v>
          </cell>
          <cell r="BQ83">
            <v>48000</v>
          </cell>
          <cell r="BR83">
            <v>42000</v>
          </cell>
          <cell r="BS83">
            <v>257</v>
          </cell>
          <cell r="BT83">
            <v>7500</v>
          </cell>
          <cell r="BU83">
            <v>0</v>
          </cell>
          <cell r="BV83">
            <v>0</v>
          </cell>
          <cell r="BW83">
            <v>0</v>
          </cell>
          <cell r="BX83">
            <v>20502</v>
          </cell>
          <cell r="BY83">
            <v>0</v>
          </cell>
          <cell r="BZ83">
            <v>20500</v>
          </cell>
          <cell r="CA83">
            <v>0</v>
          </cell>
          <cell r="CB83">
            <v>0</v>
          </cell>
          <cell r="CC83">
            <v>9500</v>
          </cell>
        </row>
        <row r="84">
          <cell r="A84">
            <v>610</v>
          </cell>
          <cell r="B84" t="str">
            <v>Bareinlage Koproduzent</v>
          </cell>
          <cell r="C84">
            <v>174907</v>
          </cell>
          <cell r="D84"/>
          <cell r="E84"/>
          <cell r="F84"/>
          <cell r="G84">
            <v>46233</v>
          </cell>
          <cell r="H84"/>
          <cell r="I84"/>
          <cell r="J84"/>
          <cell r="K84"/>
          <cell r="L84"/>
          <cell r="M84">
            <v>17000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>
            <v>6428</v>
          </cell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>
            <v>30000</v>
          </cell>
          <cell r="BG84"/>
          <cell r="BH84"/>
          <cell r="BI84">
            <v>60000</v>
          </cell>
          <cell r="BJ84">
            <v>2989</v>
          </cell>
          <cell r="BK84"/>
          <cell r="BL84"/>
          <cell r="BM84"/>
          <cell r="BN84"/>
          <cell r="BO84"/>
          <cell r="BP84"/>
          <cell r="BQ84"/>
          <cell r="BR84">
            <v>12000</v>
          </cell>
          <cell r="BS84">
            <v>257</v>
          </cell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</row>
        <row r="85">
          <cell r="A85">
            <v>620</v>
          </cell>
          <cell r="B85" t="str">
            <v>Sachleistungen Koproduzent</v>
          </cell>
          <cell r="C85">
            <v>95320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>
            <v>39000</v>
          </cell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>
            <v>41320</v>
          </cell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>
            <v>15000</v>
          </cell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</row>
        <row r="86">
          <cell r="A86">
            <v>630</v>
          </cell>
          <cell r="B86" t="str">
            <v>Rückstellungen Koproduzent</v>
          </cell>
          <cell r="C86">
            <v>46550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>
            <v>10000</v>
          </cell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>
            <v>10000</v>
          </cell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>
            <v>26550</v>
          </cell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</row>
        <row r="87">
          <cell r="A87">
            <v>650</v>
          </cell>
          <cell r="B87" t="str">
            <v>Partizipation Autor/in</v>
          </cell>
          <cell r="C87">
            <v>152500</v>
          </cell>
          <cell r="D87"/>
          <cell r="E87"/>
          <cell r="F87">
            <v>10000</v>
          </cell>
          <cell r="G87"/>
          <cell r="H87"/>
          <cell r="I87"/>
          <cell r="J87"/>
          <cell r="K87"/>
          <cell r="L87"/>
          <cell r="M87">
            <v>2500</v>
          </cell>
          <cell r="N87"/>
          <cell r="O87"/>
          <cell r="P87">
            <v>15000</v>
          </cell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>
            <v>5000</v>
          </cell>
          <cell r="AL87"/>
          <cell r="AM87"/>
          <cell r="AN87"/>
          <cell r="AO87"/>
          <cell r="AP87"/>
          <cell r="AQ87"/>
          <cell r="AR87">
            <v>10000</v>
          </cell>
          <cell r="AS87"/>
          <cell r="AT87"/>
          <cell r="AU87"/>
          <cell r="AV87"/>
          <cell r="AW87"/>
          <cell r="AX87"/>
          <cell r="AY87"/>
          <cell r="AZ87">
            <v>15000</v>
          </cell>
          <cell r="BA87"/>
          <cell r="BB87"/>
          <cell r="BC87"/>
          <cell r="BD87"/>
          <cell r="BE87"/>
          <cell r="BF87">
            <v>35000</v>
          </cell>
          <cell r="BG87"/>
          <cell r="BH87">
            <v>20000</v>
          </cell>
          <cell r="BI87"/>
          <cell r="BJ87"/>
          <cell r="BK87"/>
          <cell r="BL87"/>
          <cell r="BM87"/>
          <cell r="BN87"/>
          <cell r="BO87"/>
          <cell r="BP87">
            <v>10000</v>
          </cell>
          <cell r="BQ87"/>
          <cell r="BR87"/>
          <cell r="BS87"/>
          <cell r="BT87"/>
          <cell r="BU87"/>
          <cell r="BV87"/>
          <cell r="BW87"/>
          <cell r="BX87"/>
          <cell r="BY87"/>
          <cell r="BZ87">
            <v>20500</v>
          </cell>
          <cell r="CA87"/>
          <cell r="CB87"/>
          <cell r="CC87">
            <v>9500</v>
          </cell>
        </row>
        <row r="88">
          <cell r="A88">
            <v>660</v>
          </cell>
          <cell r="B88" t="str">
            <v>Partizipation Regie</v>
          </cell>
          <cell r="C88">
            <v>486202</v>
          </cell>
          <cell r="D88"/>
          <cell r="E88"/>
          <cell r="F88">
            <v>15000</v>
          </cell>
          <cell r="G88"/>
          <cell r="H88"/>
          <cell r="I88"/>
          <cell r="J88"/>
          <cell r="K88"/>
          <cell r="L88"/>
          <cell r="M88">
            <v>30000</v>
          </cell>
          <cell r="N88"/>
          <cell r="O88"/>
          <cell r="P88">
            <v>35000</v>
          </cell>
          <cell r="Q88"/>
          <cell r="R88"/>
          <cell r="S88"/>
          <cell r="T88"/>
          <cell r="U88"/>
          <cell r="V88"/>
          <cell r="W88"/>
          <cell r="X88"/>
          <cell r="Y88">
            <v>21000</v>
          </cell>
          <cell r="Z88">
            <v>20000</v>
          </cell>
          <cell r="AA88"/>
          <cell r="AB88"/>
          <cell r="AC88"/>
          <cell r="AD88">
            <v>8000</v>
          </cell>
          <cell r="AE88">
            <v>6000</v>
          </cell>
          <cell r="AF88">
            <v>20000</v>
          </cell>
          <cell r="AG88"/>
          <cell r="AH88">
            <v>20000</v>
          </cell>
          <cell r="AI88"/>
          <cell r="AJ88"/>
          <cell r="AK88">
            <v>4200</v>
          </cell>
          <cell r="AL88">
            <v>20000</v>
          </cell>
          <cell r="AM88">
            <v>19000</v>
          </cell>
          <cell r="AN88"/>
          <cell r="AO88"/>
          <cell r="AP88"/>
          <cell r="AQ88"/>
          <cell r="AR88">
            <v>25000</v>
          </cell>
          <cell r="AS88"/>
          <cell r="AT88"/>
          <cell r="AU88"/>
          <cell r="AV88"/>
          <cell r="AW88"/>
          <cell r="AX88"/>
          <cell r="AY88"/>
          <cell r="AZ88">
            <v>20000</v>
          </cell>
          <cell r="BA88"/>
          <cell r="BB88"/>
          <cell r="BC88"/>
          <cell r="BD88">
            <v>10000</v>
          </cell>
          <cell r="BE88"/>
          <cell r="BF88">
            <v>60000</v>
          </cell>
          <cell r="BG88"/>
          <cell r="BH88"/>
          <cell r="BI88">
            <v>47000</v>
          </cell>
          <cell r="BJ88"/>
          <cell r="BK88"/>
          <cell r="BL88"/>
          <cell r="BM88"/>
          <cell r="BN88">
            <v>15000</v>
          </cell>
          <cell r="BO88"/>
          <cell r="BP88">
            <v>30000</v>
          </cell>
          <cell r="BQ88">
            <v>18000</v>
          </cell>
          <cell r="BR88">
            <v>15000</v>
          </cell>
          <cell r="BS88"/>
          <cell r="BT88">
            <v>7500</v>
          </cell>
          <cell r="BU88"/>
          <cell r="BV88"/>
          <cell r="BW88"/>
          <cell r="BX88">
            <v>20502</v>
          </cell>
          <cell r="BY88"/>
          <cell r="BZ88"/>
          <cell r="CA88"/>
          <cell r="CB88"/>
          <cell r="CC88"/>
        </row>
        <row r="89">
          <cell r="A89">
            <v>670</v>
          </cell>
          <cell r="B89" t="str">
            <v>Partizipation Techniker/innen</v>
          </cell>
          <cell r="C89">
            <v>271952</v>
          </cell>
          <cell r="D89"/>
          <cell r="E89"/>
          <cell r="F89">
            <v>41275</v>
          </cell>
          <cell r="G89"/>
          <cell r="H89"/>
          <cell r="I89"/>
          <cell r="J89"/>
          <cell r="K89"/>
          <cell r="L89"/>
          <cell r="M89">
            <v>11000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>
            <v>31477</v>
          </cell>
          <cell r="AA89"/>
          <cell r="AB89"/>
          <cell r="AC89"/>
          <cell r="AD89"/>
          <cell r="AE89">
            <v>22200</v>
          </cell>
          <cell r="AF89"/>
          <cell r="AG89"/>
          <cell r="AH89"/>
          <cell r="AI89"/>
          <cell r="AJ89"/>
          <cell r="AK89"/>
          <cell r="AL89"/>
          <cell r="AM89">
            <v>29000</v>
          </cell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>
            <v>6000</v>
          </cell>
          <cell r="AY89"/>
          <cell r="AZ89">
            <v>77500</v>
          </cell>
          <cell r="BA89"/>
          <cell r="BB89"/>
          <cell r="BC89"/>
          <cell r="BD89"/>
          <cell r="BE89"/>
          <cell r="BF89"/>
          <cell r="BG89"/>
          <cell r="BH89">
            <v>12500</v>
          </cell>
          <cell r="BI89">
            <v>21000</v>
          </cell>
          <cell r="BJ89"/>
          <cell r="BK89"/>
          <cell r="BL89"/>
          <cell r="BM89"/>
          <cell r="BN89"/>
          <cell r="BO89">
            <v>20000</v>
          </cell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</row>
        <row r="90">
          <cell r="A90">
            <v>680</v>
          </cell>
          <cell r="B90" t="str">
            <v>Partizipation Darsteller/innen</v>
          </cell>
          <cell r="C90">
            <v>56250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>
            <v>26250</v>
          </cell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>
            <v>30000</v>
          </cell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</row>
        <row r="91">
          <cell r="A91">
            <v>690</v>
          </cell>
          <cell r="B91" t="str">
            <v>Partizipation Industrie</v>
          </cell>
          <cell r="C91">
            <v>79960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>
            <v>17000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>
            <v>4460</v>
          </cell>
          <cell r="AF91"/>
          <cell r="AG91"/>
          <cell r="AH91"/>
          <cell r="AI91"/>
          <cell r="AJ91"/>
          <cell r="AK91">
            <v>25000</v>
          </cell>
          <cell r="AL91"/>
          <cell r="AM91"/>
          <cell r="AN91"/>
          <cell r="AO91"/>
          <cell r="AP91"/>
          <cell r="AQ91"/>
          <cell r="AR91"/>
          <cell r="AS91"/>
          <cell r="AT91">
            <v>9000</v>
          </cell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>
            <v>6500</v>
          </cell>
          <cell r="BI91">
            <v>18000</v>
          </cell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</row>
        <row r="92">
          <cell r="A92">
            <v>695</v>
          </cell>
          <cell r="B92" t="str">
            <v>Andere nationale Koproduzenten</v>
          </cell>
          <cell r="C92">
            <v>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</row>
        <row r="93">
          <cell r="A93"/>
          <cell r="B93" t="str">
            <v>Eigenmittel Produzent/in</v>
          </cell>
          <cell r="C93">
            <v>4453325</v>
          </cell>
          <cell r="D93">
            <v>15404</v>
          </cell>
          <cell r="E93">
            <v>5247</v>
          </cell>
          <cell r="F93">
            <v>44291</v>
          </cell>
          <cell r="G93">
            <v>77660</v>
          </cell>
          <cell r="H93">
            <v>35381</v>
          </cell>
          <cell r="I93">
            <v>4077</v>
          </cell>
          <cell r="J93">
            <v>33193</v>
          </cell>
          <cell r="K93">
            <v>53581</v>
          </cell>
          <cell r="L93">
            <v>55228</v>
          </cell>
          <cell r="M93">
            <v>37122</v>
          </cell>
          <cell r="N93">
            <v>207654</v>
          </cell>
          <cell r="O93">
            <v>7294</v>
          </cell>
          <cell r="P93">
            <v>32369</v>
          </cell>
          <cell r="Q93">
            <v>163175</v>
          </cell>
          <cell r="R93">
            <v>5000</v>
          </cell>
          <cell r="S93">
            <v>234829</v>
          </cell>
          <cell r="T93">
            <v>16425</v>
          </cell>
          <cell r="U93">
            <v>13215</v>
          </cell>
          <cell r="V93">
            <v>36934</v>
          </cell>
          <cell r="W93">
            <v>105916</v>
          </cell>
          <cell r="X93">
            <v>15000</v>
          </cell>
          <cell r="Y93">
            <v>24725</v>
          </cell>
          <cell r="Z93">
            <v>140123</v>
          </cell>
          <cell r="AA93">
            <v>6000</v>
          </cell>
          <cell r="AB93">
            <v>89300</v>
          </cell>
          <cell r="AC93">
            <v>51354</v>
          </cell>
          <cell r="AD93">
            <v>42526</v>
          </cell>
          <cell r="AE93">
            <v>6898</v>
          </cell>
          <cell r="AF93">
            <v>72515</v>
          </cell>
          <cell r="AG93">
            <v>12393</v>
          </cell>
          <cell r="AH93">
            <v>29848</v>
          </cell>
          <cell r="AI93">
            <v>99077</v>
          </cell>
          <cell r="AJ93">
            <v>258</v>
          </cell>
          <cell r="AK93">
            <v>117742</v>
          </cell>
          <cell r="AL93">
            <v>0</v>
          </cell>
          <cell r="AM93">
            <v>19677</v>
          </cell>
          <cell r="AN93">
            <v>202070</v>
          </cell>
          <cell r="AO93">
            <v>18464</v>
          </cell>
          <cell r="AP93">
            <v>13289</v>
          </cell>
          <cell r="AQ93">
            <v>9921</v>
          </cell>
          <cell r="AR93">
            <v>15000</v>
          </cell>
          <cell r="AS93">
            <v>33427</v>
          </cell>
          <cell r="AT93">
            <v>37468</v>
          </cell>
          <cell r="AU93">
            <v>0</v>
          </cell>
          <cell r="AV93">
            <v>0</v>
          </cell>
          <cell r="AW93">
            <v>113560</v>
          </cell>
          <cell r="AX93">
            <v>25025</v>
          </cell>
          <cell r="AY93">
            <v>0</v>
          </cell>
          <cell r="AZ93">
            <v>145488</v>
          </cell>
          <cell r="BA93">
            <v>0</v>
          </cell>
          <cell r="BB93">
            <v>86100</v>
          </cell>
          <cell r="BC93">
            <v>9449</v>
          </cell>
          <cell r="BD93">
            <v>13689</v>
          </cell>
          <cell r="BE93">
            <v>37688</v>
          </cell>
          <cell r="BF93">
            <v>141356</v>
          </cell>
          <cell r="BG93">
            <v>0</v>
          </cell>
          <cell r="BH93">
            <v>26315</v>
          </cell>
          <cell r="BI93">
            <v>55470</v>
          </cell>
          <cell r="BJ93">
            <v>7350</v>
          </cell>
          <cell r="BK93">
            <v>20043</v>
          </cell>
          <cell r="BL93">
            <v>26495</v>
          </cell>
          <cell r="BM93">
            <v>19734</v>
          </cell>
          <cell r="BN93">
            <v>31473</v>
          </cell>
          <cell r="BO93">
            <v>22770</v>
          </cell>
          <cell r="BP93">
            <v>9608</v>
          </cell>
          <cell r="BQ93">
            <v>201672</v>
          </cell>
          <cell r="BR93">
            <v>46208</v>
          </cell>
          <cell r="BS93">
            <v>25698</v>
          </cell>
          <cell r="BT93">
            <v>11800</v>
          </cell>
          <cell r="BU93">
            <v>55130</v>
          </cell>
          <cell r="BV93">
            <v>69994</v>
          </cell>
          <cell r="BW93">
            <v>27175</v>
          </cell>
          <cell r="BX93">
            <v>41515</v>
          </cell>
          <cell r="BY93">
            <v>369615</v>
          </cell>
          <cell r="BZ93">
            <v>85555</v>
          </cell>
          <cell r="CA93">
            <v>33035</v>
          </cell>
          <cell r="CB93">
            <v>41989</v>
          </cell>
          <cell r="CC93">
            <v>245862</v>
          </cell>
        </row>
        <row r="94">
          <cell r="A94">
            <v>710</v>
          </cell>
          <cell r="B94" t="str">
            <v>Bareinlage Produzent</v>
          </cell>
          <cell r="C94">
            <v>978245</v>
          </cell>
          <cell r="D94">
            <v>15404</v>
          </cell>
          <cell r="E94"/>
          <cell r="F94">
            <v>13832</v>
          </cell>
          <cell r="G94"/>
          <cell r="H94"/>
          <cell r="I94"/>
          <cell r="J94"/>
          <cell r="K94">
            <v>15581</v>
          </cell>
          <cell r="L94"/>
          <cell r="M94">
            <v>7122</v>
          </cell>
          <cell r="N94"/>
          <cell r="O94"/>
          <cell r="P94">
            <v>5400</v>
          </cell>
          <cell r="Q94">
            <v>61968</v>
          </cell>
          <cell r="R94"/>
          <cell r="S94"/>
          <cell r="T94">
            <v>16425</v>
          </cell>
          <cell r="U94"/>
          <cell r="V94"/>
          <cell r="W94">
            <v>5916</v>
          </cell>
          <cell r="X94"/>
          <cell r="Y94">
            <v>6500</v>
          </cell>
          <cell r="Z94">
            <v>14507</v>
          </cell>
          <cell r="AA94"/>
          <cell r="AB94">
            <v>8800</v>
          </cell>
          <cell r="AC94">
            <v>1354</v>
          </cell>
          <cell r="AD94"/>
          <cell r="AE94">
            <v>2600</v>
          </cell>
          <cell r="AF94">
            <v>17515</v>
          </cell>
          <cell r="AG94"/>
          <cell r="AH94">
            <v>4648</v>
          </cell>
          <cell r="AI94">
            <v>9077</v>
          </cell>
          <cell r="AJ94">
            <v>258</v>
          </cell>
          <cell r="AK94">
            <v>1691</v>
          </cell>
          <cell r="AL94"/>
          <cell r="AM94">
            <v>9677</v>
          </cell>
          <cell r="AN94">
            <v>67970</v>
          </cell>
          <cell r="AO94"/>
          <cell r="AP94">
            <v>13289</v>
          </cell>
          <cell r="AQ94"/>
          <cell r="AR94"/>
          <cell r="AS94">
            <v>10800</v>
          </cell>
          <cell r="AT94">
            <v>14400</v>
          </cell>
          <cell r="AU94"/>
          <cell r="AV94"/>
          <cell r="AW94"/>
          <cell r="AX94">
            <v>22000</v>
          </cell>
          <cell r="AY94"/>
          <cell r="AZ94">
            <v>118488</v>
          </cell>
          <cell r="BA94"/>
          <cell r="BB94"/>
          <cell r="BC94">
            <v>949</v>
          </cell>
          <cell r="BD94"/>
          <cell r="BE94"/>
          <cell r="BF94">
            <v>96397</v>
          </cell>
          <cell r="BG94"/>
          <cell r="BH94"/>
          <cell r="BI94">
            <v>22687</v>
          </cell>
          <cell r="BJ94">
            <v>2989</v>
          </cell>
          <cell r="BK94"/>
          <cell r="BL94"/>
          <cell r="BM94">
            <v>9000</v>
          </cell>
          <cell r="BN94">
            <v>73</v>
          </cell>
          <cell r="BO94"/>
          <cell r="BP94"/>
          <cell r="BQ94">
            <v>78167</v>
          </cell>
          <cell r="BR94">
            <v>9708</v>
          </cell>
          <cell r="BS94"/>
          <cell r="BT94"/>
          <cell r="BU94">
            <v>55130</v>
          </cell>
          <cell r="BV94"/>
          <cell r="BW94">
            <v>55</v>
          </cell>
          <cell r="BX94">
            <v>41515</v>
          </cell>
          <cell r="BY94">
            <v>195262</v>
          </cell>
          <cell r="BZ94"/>
          <cell r="CA94"/>
          <cell r="CB94">
            <v>3989</v>
          </cell>
          <cell r="CC94"/>
        </row>
        <row r="95">
          <cell r="A95">
            <v>720</v>
          </cell>
          <cell r="B95" t="str">
            <v>Sachleistungen Produzent</v>
          </cell>
          <cell r="C95">
            <v>199805</v>
          </cell>
          <cell r="D95"/>
          <cell r="E95"/>
          <cell r="F95">
            <v>12700</v>
          </cell>
          <cell r="G95"/>
          <cell r="H95">
            <v>15750</v>
          </cell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>
            <v>10000</v>
          </cell>
          <cell r="W95"/>
          <cell r="X95"/>
          <cell r="Y95">
            <v>12100</v>
          </cell>
          <cell r="Z95"/>
          <cell r="AA95">
            <v>3000</v>
          </cell>
          <cell r="AB95">
            <v>10500</v>
          </cell>
          <cell r="AC95"/>
          <cell r="AD95">
            <v>9600</v>
          </cell>
          <cell r="AE95"/>
          <cell r="AF95"/>
          <cell r="AG95"/>
          <cell r="AH95"/>
          <cell r="AI95"/>
          <cell r="AJ95"/>
          <cell r="AK95">
            <v>70500</v>
          </cell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>
            <v>8500</v>
          </cell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>
            <v>10000</v>
          </cell>
          <cell r="BO95">
            <v>7400</v>
          </cell>
          <cell r="BP95"/>
          <cell r="BQ95"/>
          <cell r="BR95">
            <v>14000</v>
          </cell>
          <cell r="BS95"/>
          <cell r="BT95"/>
          <cell r="BU95"/>
          <cell r="BV95"/>
          <cell r="BW95">
            <v>15755</v>
          </cell>
          <cell r="BX95"/>
          <cell r="BY95"/>
          <cell r="BZ95"/>
          <cell r="CA95"/>
          <cell r="CB95"/>
          <cell r="CC95"/>
        </row>
        <row r="96">
          <cell r="A96">
            <v>730</v>
          </cell>
          <cell r="B96" t="str">
            <v>Rückstellungen Produzentenhonorar</v>
          </cell>
          <cell r="C96">
            <v>1316251</v>
          </cell>
          <cell r="D96"/>
          <cell r="E96"/>
          <cell r="F96">
            <v>15000</v>
          </cell>
          <cell r="G96">
            <v>50000</v>
          </cell>
          <cell r="H96">
            <v>10000</v>
          </cell>
          <cell r="I96"/>
          <cell r="J96"/>
          <cell r="K96">
            <v>18000</v>
          </cell>
          <cell r="L96">
            <v>28028</v>
          </cell>
          <cell r="M96">
            <v>20000</v>
          </cell>
          <cell r="N96">
            <v>80000</v>
          </cell>
          <cell r="O96"/>
          <cell r="P96">
            <v>10000</v>
          </cell>
          <cell r="Q96"/>
          <cell r="R96"/>
          <cell r="S96">
            <v>140000</v>
          </cell>
          <cell r="T96"/>
          <cell r="U96">
            <v>10000</v>
          </cell>
          <cell r="V96">
            <v>6934</v>
          </cell>
          <cell r="W96">
            <v>20000</v>
          </cell>
          <cell r="X96">
            <v>5000</v>
          </cell>
          <cell r="Y96"/>
          <cell r="Z96">
            <v>55434</v>
          </cell>
          <cell r="AA96">
            <v>3000</v>
          </cell>
          <cell r="AB96"/>
          <cell r="AC96">
            <v>25000</v>
          </cell>
          <cell r="AD96">
            <v>20000</v>
          </cell>
          <cell r="AE96"/>
          <cell r="AF96">
            <v>15000</v>
          </cell>
          <cell r="AG96"/>
          <cell r="AH96">
            <v>10200</v>
          </cell>
          <cell r="AI96">
            <v>40000</v>
          </cell>
          <cell r="AJ96"/>
          <cell r="AK96">
            <v>12000</v>
          </cell>
          <cell r="AL96"/>
          <cell r="AM96">
            <v>3000</v>
          </cell>
          <cell r="AN96">
            <v>46350</v>
          </cell>
          <cell r="AO96">
            <v>18464</v>
          </cell>
          <cell r="AP96"/>
          <cell r="AQ96"/>
          <cell r="AR96">
            <v>10000</v>
          </cell>
          <cell r="AS96">
            <v>8627</v>
          </cell>
          <cell r="AT96">
            <v>5000</v>
          </cell>
          <cell r="AU96"/>
          <cell r="AV96"/>
          <cell r="AW96">
            <v>113560</v>
          </cell>
          <cell r="AX96">
            <v>3025</v>
          </cell>
          <cell r="AY96"/>
          <cell r="AZ96">
            <v>15000</v>
          </cell>
          <cell r="BA96"/>
          <cell r="BB96">
            <v>3060</v>
          </cell>
          <cell r="BC96"/>
          <cell r="BD96">
            <v>5000</v>
          </cell>
          <cell r="BE96"/>
          <cell r="BF96">
            <v>17500</v>
          </cell>
          <cell r="BG96"/>
          <cell r="BH96"/>
          <cell r="BI96">
            <v>15000</v>
          </cell>
          <cell r="BJ96"/>
          <cell r="BK96"/>
          <cell r="BL96">
            <v>13247</v>
          </cell>
          <cell r="BM96"/>
          <cell r="BN96">
            <v>15000</v>
          </cell>
          <cell r="BO96">
            <v>7000</v>
          </cell>
          <cell r="BP96">
            <v>9608</v>
          </cell>
          <cell r="BQ96">
            <v>18000</v>
          </cell>
          <cell r="BR96">
            <v>15000</v>
          </cell>
          <cell r="BS96">
            <v>5000</v>
          </cell>
          <cell r="BT96">
            <v>3100</v>
          </cell>
          <cell r="BU96"/>
          <cell r="BV96">
            <v>41248</v>
          </cell>
          <cell r="BW96">
            <v>0</v>
          </cell>
          <cell r="BX96"/>
          <cell r="BY96">
            <v>60000</v>
          </cell>
          <cell r="BZ96">
            <v>45000</v>
          </cell>
          <cell r="CA96">
            <v>14000</v>
          </cell>
          <cell r="CB96">
            <v>20000</v>
          </cell>
          <cell r="CC96">
            <v>100000</v>
          </cell>
        </row>
        <row r="97">
          <cell r="A97">
            <v>740</v>
          </cell>
          <cell r="B97" t="str">
            <v>Rückstellungen Handlungsunkosten</v>
          </cell>
          <cell r="C97">
            <v>1959024</v>
          </cell>
          <cell r="D97"/>
          <cell r="E97">
            <v>5247</v>
          </cell>
          <cell r="F97">
            <v>2759</v>
          </cell>
          <cell r="G97">
            <v>27660</v>
          </cell>
          <cell r="H97">
            <v>9631</v>
          </cell>
          <cell r="I97">
            <v>4077</v>
          </cell>
          <cell r="J97">
            <v>33193</v>
          </cell>
          <cell r="K97">
            <v>20000</v>
          </cell>
          <cell r="L97">
            <v>27200</v>
          </cell>
          <cell r="M97">
            <v>10000</v>
          </cell>
          <cell r="N97">
            <v>127654</v>
          </cell>
          <cell r="O97">
            <v>7294</v>
          </cell>
          <cell r="P97">
            <v>16969</v>
          </cell>
          <cell r="Q97">
            <v>101207</v>
          </cell>
          <cell r="R97">
            <v>5000</v>
          </cell>
          <cell r="S97">
            <v>94829</v>
          </cell>
          <cell r="T97"/>
          <cell r="U97">
            <v>3215</v>
          </cell>
          <cell r="V97">
            <v>20000</v>
          </cell>
          <cell r="W97">
            <v>80000</v>
          </cell>
          <cell r="X97">
            <v>10000</v>
          </cell>
          <cell r="Y97">
            <v>6125</v>
          </cell>
          <cell r="Z97">
            <v>70182</v>
          </cell>
          <cell r="AA97"/>
          <cell r="AB97">
            <v>70000</v>
          </cell>
          <cell r="AC97">
            <v>25000</v>
          </cell>
          <cell r="AD97">
            <v>12926</v>
          </cell>
          <cell r="AE97">
            <v>4298</v>
          </cell>
          <cell r="AF97">
            <v>40000</v>
          </cell>
          <cell r="AG97">
            <v>12393</v>
          </cell>
          <cell r="AH97">
            <v>15000</v>
          </cell>
          <cell r="AI97">
            <v>50000</v>
          </cell>
          <cell r="AJ97"/>
          <cell r="AK97">
            <v>33551</v>
          </cell>
          <cell r="AL97"/>
          <cell r="AM97">
            <v>7000</v>
          </cell>
          <cell r="AN97">
            <v>87750</v>
          </cell>
          <cell r="AO97"/>
          <cell r="AP97"/>
          <cell r="AQ97">
            <v>9921</v>
          </cell>
          <cell r="AR97">
            <v>5000</v>
          </cell>
          <cell r="AS97">
            <v>14000</v>
          </cell>
          <cell r="AT97">
            <v>18068</v>
          </cell>
          <cell r="AU97"/>
          <cell r="AV97"/>
          <cell r="AW97"/>
          <cell r="AX97"/>
          <cell r="AY97"/>
          <cell r="AZ97">
            <v>12000</v>
          </cell>
          <cell r="BA97"/>
          <cell r="BB97">
            <v>83040</v>
          </cell>
          <cell r="BC97"/>
          <cell r="BD97">
            <v>8689</v>
          </cell>
          <cell r="BE97">
            <v>37688</v>
          </cell>
          <cell r="BF97">
            <v>27459</v>
          </cell>
          <cell r="BG97"/>
          <cell r="BH97">
            <v>26315</v>
          </cell>
          <cell r="BI97">
            <v>17783</v>
          </cell>
          <cell r="BJ97">
            <v>4361</v>
          </cell>
          <cell r="BK97">
            <v>20043</v>
          </cell>
          <cell r="BL97">
            <v>13248</v>
          </cell>
          <cell r="BM97">
            <v>10734</v>
          </cell>
          <cell r="BN97">
            <v>6400</v>
          </cell>
          <cell r="BO97">
            <v>8370</v>
          </cell>
          <cell r="BP97"/>
          <cell r="BQ97">
            <v>105505</v>
          </cell>
          <cell r="BR97">
            <v>7500</v>
          </cell>
          <cell r="BS97">
            <v>20698</v>
          </cell>
          <cell r="BT97">
            <v>8700</v>
          </cell>
          <cell r="BU97"/>
          <cell r="BV97">
            <v>28746</v>
          </cell>
          <cell r="BW97">
            <v>11365</v>
          </cell>
          <cell r="BX97"/>
          <cell r="BY97">
            <v>114353</v>
          </cell>
          <cell r="BZ97">
            <v>40555</v>
          </cell>
          <cell r="CA97">
            <v>19035</v>
          </cell>
          <cell r="CB97">
            <v>18000</v>
          </cell>
          <cell r="CC97">
            <v>145862</v>
          </cell>
        </row>
        <row r="98">
          <cell r="A98"/>
          <cell r="B98" t="str">
            <v>Andere Partner</v>
          </cell>
          <cell r="C98">
            <v>9327347</v>
          </cell>
          <cell r="D98">
            <v>199700</v>
          </cell>
          <cell r="E98">
            <v>0</v>
          </cell>
          <cell r="F98">
            <v>0</v>
          </cell>
          <cell r="G98">
            <v>120000</v>
          </cell>
          <cell r="H98">
            <v>0</v>
          </cell>
          <cell r="I98">
            <v>35520</v>
          </cell>
          <cell r="J98">
            <v>111686</v>
          </cell>
          <cell r="K98">
            <v>76000</v>
          </cell>
          <cell r="L98">
            <v>69600</v>
          </cell>
          <cell r="M98">
            <v>0</v>
          </cell>
          <cell r="N98">
            <v>100596</v>
          </cell>
          <cell r="O98">
            <v>78400</v>
          </cell>
          <cell r="P98">
            <v>48000</v>
          </cell>
          <cell r="Q98">
            <v>1575000</v>
          </cell>
          <cell r="R98">
            <v>0</v>
          </cell>
          <cell r="S98">
            <v>96439</v>
          </cell>
          <cell r="T98">
            <v>67875</v>
          </cell>
          <cell r="U98">
            <v>40000</v>
          </cell>
          <cell r="V98">
            <v>72000</v>
          </cell>
          <cell r="W98">
            <v>125400</v>
          </cell>
          <cell r="X98">
            <v>175800</v>
          </cell>
          <cell r="Y98">
            <v>28600</v>
          </cell>
          <cell r="Z98">
            <v>144800</v>
          </cell>
          <cell r="AA98">
            <v>0</v>
          </cell>
          <cell r="AB98">
            <v>103400</v>
          </cell>
          <cell r="AC98">
            <v>134580</v>
          </cell>
          <cell r="AD98">
            <v>51175</v>
          </cell>
          <cell r="AE98">
            <v>9000</v>
          </cell>
          <cell r="AF98">
            <v>118000</v>
          </cell>
          <cell r="AG98">
            <v>53000</v>
          </cell>
          <cell r="AH98">
            <v>80400</v>
          </cell>
          <cell r="AI98">
            <v>67229</v>
          </cell>
          <cell r="AJ98">
            <v>154400</v>
          </cell>
          <cell r="AK98">
            <v>150000</v>
          </cell>
          <cell r="AL98">
            <v>130348</v>
          </cell>
          <cell r="AM98">
            <v>87000</v>
          </cell>
          <cell r="AN98">
            <v>1191898</v>
          </cell>
          <cell r="AO98">
            <v>101800</v>
          </cell>
          <cell r="AP98">
            <v>37680</v>
          </cell>
          <cell r="AQ98">
            <v>0</v>
          </cell>
          <cell r="AR98">
            <v>65890</v>
          </cell>
          <cell r="AS98">
            <v>26880</v>
          </cell>
          <cell r="AT98">
            <v>53600</v>
          </cell>
          <cell r="AU98">
            <v>0</v>
          </cell>
          <cell r="AV98">
            <v>0</v>
          </cell>
          <cell r="AW98">
            <v>276176</v>
          </cell>
          <cell r="AX98">
            <v>0</v>
          </cell>
          <cell r="AY98">
            <v>45000</v>
          </cell>
          <cell r="AZ98">
            <v>36000</v>
          </cell>
          <cell r="BA98">
            <v>75000</v>
          </cell>
          <cell r="BB98">
            <v>166000</v>
          </cell>
          <cell r="BC98">
            <v>0</v>
          </cell>
          <cell r="BD98">
            <v>68000</v>
          </cell>
          <cell r="BE98">
            <v>58200</v>
          </cell>
          <cell r="BF98">
            <v>250000</v>
          </cell>
          <cell r="BG98">
            <v>3700</v>
          </cell>
          <cell r="BH98">
            <v>48000</v>
          </cell>
          <cell r="BI98">
            <v>50000</v>
          </cell>
          <cell r="BJ98">
            <v>87520</v>
          </cell>
          <cell r="BK98">
            <v>152400</v>
          </cell>
          <cell r="BL98">
            <v>20582</v>
          </cell>
          <cell r="BM98">
            <v>88200</v>
          </cell>
          <cell r="BN98">
            <v>45000</v>
          </cell>
          <cell r="BO98">
            <v>28800</v>
          </cell>
          <cell r="BP98">
            <v>0</v>
          </cell>
          <cell r="BQ98">
            <v>96600</v>
          </cell>
          <cell r="BR98">
            <v>0</v>
          </cell>
          <cell r="BS98">
            <v>78900</v>
          </cell>
          <cell r="BT98">
            <v>20000</v>
          </cell>
          <cell r="BU98">
            <v>301296</v>
          </cell>
          <cell r="BV98">
            <v>71700</v>
          </cell>
          <cell r="BW98">
            <v>35520</v>
          </cell>
          <cell r="BX98">
            <v>94265</v>
          </cell>
          <cell r="BY98">
            <v>153300</v>
          </cell>
          <cell r="BZ98">
            <v>115480</v>
          </cell>
          <cell r="CA98">
            <v>121850</v>
          </cell>
          <cell r="CB98">
            <v>48000</v>
          </cell>
          <cell r="CC98">
            <v>599982</v>
          </cell>
        </row>
        <row r="99">
          <cell r="A99">
            <v>801</v>
          </cell>
          <cell r="B99" t="str">
            <v>Suissimage</v>
          </cell>
          <cell r="C99">
            <v>3156924</v>
          </cell>
          <cell r="D99">
            <v>67200</v>
          </cell>
          <cell r="E99"/>
          <cell r="F99"/>
          <cell r="G99">
            <v>120000</v>
          </cell>
          <cell r="H99"/>
          <cell r="I99">
            <v>35520</v>
          </cell>
          <cell r="J99">
            <v>61686</v>
          </cell>
          <cell r="K99">
            <v>51000</v>
          </cell>
          <cell r="L99">
            <v>69600</v>
          </cell>
          <cell r="M99"/>
          <cell r="N99">
            <v>91596</v>
          </cell>
          <cell r="O99">
            <v>38400</v>
          </cell>
          <cell r="P99">
            <v>48000</v>
          </cell>
          <cell r="Q99">
            <v>200000</v>
          </cell>
          <cell r="R99"/>
          <cell r="S99">
            <v>76000</v>
          </cell>
          <cell r="T99"/>
          <cell r="U99"/>
          <cell r="V99">
            <v>72000</v>
          </cell>
          <cell r="W99">
            <v>50400</v>
          </cell>
          <cell r="X99">
            <v>50800</v>
          </cell>
          <cell r="Y99">
            <v>28600</v>
          </cell>
          <cell r="Z99">
            <v>79800</v>
          </cell>
          <cell r="AA99"/>
          <cell r="AB99">
            <v>98400</v>
          </cell>
          <cell r="AC99">
            <v>94580</v>
          </cell>
          <cell r="AD99">
            <v>46080</v>
          </cell>
          <cell r="AE99"/>
          <cell r="AF99">
            <v>48000</v>
          </cell>
          <cell r="AG99">
            <v>33000</v>
          </cell>
          <cell r="AH99">
            <v>50400</v>
          </cell>
          <cell r="AI99">
            <v>59040</v>
          </cell>
          <cell r="AJ99">
            <v>74400</v>
          </cell>
          <cell r="AK99"/>
          <cell r="AL99">
            <v>33600</v>
          </cell>
          <cell r="AM99"/>
          <cell r="AN99">
            <v>24000</v>
          </cell>
          <cell r="AO99">
            <v>76800</v>
          </cell>
          <cell r="AP99">
            <v>37680</v>
          </cell>
          <cell r="AQ99"/>
          <cell r="AR99">
            <v>24000</v>
          </cell>
          <cell r="AS99">
            <v>26880</v>
          </cell>
          <cell r="AT99">
            <v>33600</v>
          </cell>
          <cell r="AU99"/>
          <cell r="AV99"/>
          <cell r="AW99">
            <v>120000</v>
          </cell>
          <cell r="AX99"/>
          <cell r="AY99"/>
          <cell r="AZ99"/>
          <cell r="BA99"/>
          <cell r="BB99">
            <v>120000</v>
          </cell>
          <cell r="BC99"/>
          <cell r="BD99">
            <v>48000</v>
          </cell>
          <cell r="BE99">
            <v>43200</v>
          </cell>
          <cell r="BF99"/>
          <cell r="BG99"/>
          <cell r="BH99">
            <v>48000</v>
          </cell>
          <cell r="BI99"/>
          <cell r="BJ99">
            <v>47520</v>
          </cell>
          <cell r="BK99">
            <v>62400</v>
          </cell>
          <cell r="BL99">
            <v>20582</v>
          </cell>
          <cell r="BM99">
            <v>43200</v>
          </cell>
          <cell r="BN99"/>
          <cell r="BO99">
            <v>28800</v>
          </cell>
          <cell r="BP99"/>
          <cell r="BQ99">
            <v>81600</v>
          </cell>
          <cell r="BR99"/>
          <cell r="BS99">
            <v>48000</v>
          </cell>
          <cell r="BT99"/>
          <cell r="BU99"/>
          <cell r="BV99">
            <v>67200</v>
          </cell>
          <cell r="BW99">
            <v>23520</v>
          </cell>
          <cell r="BX99">
            <v>62880</v>
          </cell>
          <cell r="BY99">
            <v>88800</v>
          </cell>
          <cell r="BZ99">
            <v>42480</v>
          </cell>
          <cell r="CA99">
            <v>60000</v>
          </cell>
          <cell r="CB99">
            <v>48000</v>
          </cell>
          <cell r="CC99">
            <v>120000</v>
          </cell>
        </row>
        <row r="100">
          <cell r="A100">
            <v>802</v>
          </cell>
          <cell r="B100" t="str">
            <v>SSA</v>
          </cell>
          <cell r="C100">
            <v>251000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>
            <v>35000</v>
          </cell>
          <cell r="X100"/>
          <cell r="Y100"/>
          <cell r="Z100">
            <v>25000</v>
          </cell>
          <cell r="AA100"/>
          <cell r="AB100"/>
          <cell r="AC100">
            <v>25000</v>
          </cell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50000</v>
          </cell>
          <cell r="AO100">
            <v>25000</v>
          </cell>
          <cell r="AP100"/>
          <cell r="AQ100"/>
          <cell r="AR100"/>
          <cell r="AS100"/>
          <cell r="AT100">
            <v>20000</v>
          </cell>
          <cell r="AU100"/>
          <cell r="AV100"/>
          <cell r="AW100"/>
          <cell r="AX100"/>
          <cell r="AY100"/>
          <cell r="AZ100">
            <v>6000</v>
          </cell>
          <cell r="BA100"/>
          <cell r="BB100">
            <v>25000</v>
          </cell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>
            <v>20000</v>
          </cell>
          <cell r="BY100"/>
          <cell r="BZ100"/>
          <cell r="CA100"/>
          <cell r="CB100"/>
          <cell r="CC100"/>
        </row>
        <row r="101">
          <cell r="A101">
            <v>803</v>
          </cell>
          <cell r="B101" t="str">
            <v>SUISA</v>
          </cell>
          <cell r="C101">
            <v>5000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>
            <v>5000</v>
          </cell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</row>
        <row r="102">
          <cell r="A102">
            <v>804</v>
          </cell>
          <cell r="B102" t="str">
            <v>Teleproduktionsfonds</v>
          </cell>
          <cell r="C102">
            <v>125000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</row>
        <row r="103">
          <cell r="A103">
            <v>805</v>
          </cell>
          <cell r="B103" t="str">
            <v>Migros Kulturprozent</v>
          </cell>
          <cell r="C103">
            <v>195000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>
            <v>15000</v>
          </cell>
          <cell r="T103"/>
          <cell r="U103">
            <v>25000</v>
          </cell>
          <cell r="V103"/>
          <cell r="W103"/>
          <cell r="X103"/>
          <cell r="Y103"/>
          <cell r="Z103">
            <v>40000</v>
          </cell>
          <cell r="AA103"/>
          <cell r="AB103"/>
          <cell r="AC103">
            <v>15000</v>
          </cell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>
            <v>30000</v>
          </cell>
          <cell r="BA103"/>
          <cell r="BB103"/>
          <cell r="BC103"/>
          <cell r="BD103"/>
          <cell r="BE103"/>
          <cell r="BF103"/>
          <cell r="BG103"/>
          <cell r="BH103"/>
          <cell r="BI103">
            <v>50000</v>
          </cell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</row>
        <row r="104">
          <cell r="A104">
            <v>806</v>
          </cell>
          <cell r="B104" t="str">
            <v>Filme für eine Welt</v>
          </cell>
          <cell r="C104">
            <v>20000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</row>
        <row r="105">
          <cell r="A105">
            <v>807</v>
          </cell>
          <cell r="B105" t="str">
            <v>Focal</v>
          </cell>
          <cell r="C105">
            <v>118939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>
            <v>9000</v>
          </cell>
          <cell r="O105"/>
          <cell r="P105"/>
          <cell r="Q105"/>
          <cell r="R105"/>
          <cell r="S105">
            <v>5439</v>
          </cell>
          <cell r="T105"/>
          <cell r="U105"/>
          <cell r="V105"/>
          <cell r="W105">
            <v>10000</v>
          </cell>
          <cell r="X105"/>
          <cell r="Y105"/>
          <cell r="Z105"/>
          <cell r="AA105"/>
          <cell r="AB105">
            <v>5000</v>
          </cell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>
            <v>13000</v>
          </cell>
          <cell r="BC105"/>
          <cell r="BD105">
            <v>20000</v>
          </cell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>
            <v>15000</v>
          </cell>
          <cell r="BR105"/>
          <cell r="BS105"/>
          <cell r="BT105"/>
          <cell r="BU105"/>
          <cell r="BV105"/>
          <cell r="BW105">
            <v>4000</v>
          </cell>
          <cell r="BX105"/>
          <cell r="BY105">
            <v>15000</v>
          </cell>
          <cell r="BZ105">
            <v>5000</v>
          </cell>
          <cell r="CA105"/>
          <cell r="CB105"/>
          <cell r="CC105">
            <v>17500</v>
          </cell>
        </row>
        <row r="106">
          <cell r="A106">
            <v>820</v>
          </cell>
          <cell r="B106" t="str">
            <v>Stiftungen</v>
          </cell>
          <cell r="C106">
            <v>1367495</v>
          </cell>
          <cell r="D106"/>
          <cell r="E106"/>
          <cell r="F106"/>
          <cell r="G106"/>
          <cell r="H106"/>
          <cell r="I106"/>
          <cell r="J106">
            <v>50000</v>
          </cell>
          <cell r="K106">
            <v>25000</v>
          </cell>
          <cell r="L106"/>
          <cell r="M106"/>
          <cell r="N106"/>
          <cell r="O106">
            <v>40000</v>
          </cell>
          <cell r="P106"/>
          <cell r="Q106">
            <v>300000</v>
          </cell>
          <cell r="R106"/>
          <cell r="S106"/>
          <cell r="T106">
            <v>60000</v>
          </cell>
          <cell r="U106">
            <v>15000</v>
          </cell>
          <cell r="V106"/>
          <cell r="W106">
            <v>20000</v>
          </cell>
          <cell r="X106">
            <v>25000</v>
          </cell>
          <cell r="Y106"/>
          <cell r="Z106"/>
          <cell r="AA106"/>
          <cell r="AB106"/>
          <cell r="AC106"/>
          <cell r="AD106">
            <v>5095</v>
          </cell>
          <cell r="AE106"/>
          <cell r="AF106">
            <v>70000</v>
          </cell>
          <cell r="AG106">
            <v>20000</v>
          </cell>
          <cell r="AH106">
            <v>30000</v>
          </cell>
          <cell r="AI106"/>
          <cell r="AJ106">
            <v>30000</v>
          </cell>
          <cell r="AK106"/>
          <cell r="AL106">
            <v>30000</v>
          </cell>
          <cell r="AM106">
            <v>62000</v>
          </cell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>
            <v>40000</v>
          </cell>
          <cell r="BK106">
            <v>90000</v>
          </cell>
          <cell r="BL106"/>
          <cell r="BM106">
            <v>45000</v>
          </cell>
          <cell r="BN106"/>
          <cell r="BO106"/>
          <cell r="BP106"/>
          <cell r="BQ106"/>
          <cell r="BR106"/>
          <cell r="BS106">
            <v>30900</v>
          </cell>
          <cell r="BT106"/>
          <cell r="BU106">
            <v>30000</v>
          </cell>
          <cell r="BV106">
            <v>4500</v>
          </cell>
          <cell r="BW106">
            <v>8000</v>
          </cell>
          <cell r="BX106"/>
          <cell r="BY106"/>
          <cell r="BZ106"/>
          <cell r="CA106">
            <v>55000</v>
          </cell>
          <cell r="CB106"/>
          <cell r="CC106">
            <v>65000</v>
          </cell>
        </row>
        <row r="107">
          <cell r="A107">
            <v>830</v>
          </cell>
          <cell r="B107" t="str">
            <v>Sponsoren</v>
          </cell>
          <cell r="C107">
            <v>978646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>
            <v>160000</v>
          </cell>
          <cell r="R107"/>
          <cell r="S107"/>
          <cell r="T107"/>
          <cell r="U107"/>
          <cell r="V107"/>
          <cell r="W107">
            <v>10000</v>
          </cell>
          <cell r="X107"/>
          <cell r="Y107"/>
          <cell r="Z107"/>
          <cell r="AA107"/>
          <cell r="AB107"/>
          <cell r="AC107"/>
          <cell r="AD107"/>
          <cell r="AE107">
            <v>4000</v>
          </cell>
          <cell r="AF107"/>
          <cell r="AG107"/>
          <cell r="AH107"/>
          <cell r="AI107"/>
          <cell r="AJ107"/>
          <cell r="AK107">
            <v>125000</v>
          </cell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>
            <v>5000</v>
          </cell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>
            <v>45000</v>
          </cell>
          <cell r="BO107"/>
          <cell r="BP107"/>
          <cell r="BQ107"/>
          <cell r="BR107"/>
          <cell r="BS107"/>
          <cell r="BT107"/>
          <cell r="BU107">
            <v>271296</v>
          </cell>
          <cell r="BV107"/>
          <cell r="BW107"/>
          <cell r="BX107"/>
          <cell r="BY107">
            <v>49500</v>
          </cell>
          <cell r="BZ107"/>
          <cell r="CA107">
            <v>6850</v>
          </cell>
          <cell r="CB107"/>
          <cell r="CC107">
            <v>300000</v>
          </cell>
        </row>
        <row r="108">
          <cell r="A108">
            <v>840</v>
          </cell>
          <cell r="B108" t="str">
            <v>Product Placement</v>
          </cell>
          <cell r="C108">
            <v>10000</v>
          </cell>
          <cell r="D108">
            <v>62500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>
            <v>10000</v>
          </cell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  <cell r="BZ108"/>
          <cell r="CA108"/>
          <cell r="CB108"/>
          <cell r="CC108"/>
        </row>
        <row r="109">
          <cell r="A109">
            <v>850</v>
          </cell>
          <cell r="B109" t="str">
            <v>Investoren</v>
          </cell>
          <cell r="C109">
            <v>927748</v>
          </cell>
          <cell r="D109">
            <v>70000</v>
          </cell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>
            <v>740000</v>
          </cell>
          <cell r="R109"/>
          <cell r="S109"/>
          <cell r="T109"/>
          <cell r="U109"/>
          <cell r="V109"/>
          <cell r="W109"/>
          <cell r="X109">
            <v>50000</v>
          </cell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>
            <v>66748</v>
          </cell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>
            <v>3000</v>
          </cell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  <cell r="BZ109">
            <v>68000</v>
          </cell>
          <cell r="CA109"/>
          <cell r="CB109"/>
          <cell r="CC109"/>
        </row>
        <row r="110">
          <cell r="A110">
            <v>860</v>
          </cell>
          <cell r="B110" t="str">
            <v>Crowd-Funding</v>
          </cell>
          <cell r="C110">
            <v>0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</row>
        <row r="111">
          <cell r="A111">
            <v>870</v>
          </cell>
          <cell r="B111" t="str">
            <v>Gap-Finanzierung Bankkredite</v>
          </cell>
          <cell r="C111">
            <v>0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  <cell r="BZ111"/>
          <cell r="CA111"/>
          <cell r="CB111"/>
          <cell r="CC111"/>
        </row>
        <row r="112">
          <cell r="A112">
            <v>880</v>
          </cell>
          <cell r="B112" t="str">
            <v>Gap-Finanzierung private Finanzierung</v>
          </cell>
          <cell r="C112">
            <v>600561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>
            <v>275000</v>
          </cell>
          <cell r="AO112"/>
          <cell r="AP112"/>
          <cell r="AQ112"/>
          <cell r="AR112"/>
          <cell r="AS112"/>
          <cell r="AT112"/>
          <cell r="AU112"/>
          <cell r="AV112"/>
          <cell r="AW112">
            <v>64176</v>
          </cell>
          <cell r="AX112"/>
          <cell r="AY112"/>
          <cell r="AZ112"/>
          <cell r="BA112"/>
          <cell r="BB112"/>
          <cell r="BC112"/>
          <cell r="BD112"/>
          <cell r="BE112"/>
          <cell r="BF112">
            <v>250000</v>
          </cell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>
            <v>11385</v>
          </cell>
          <cell r="BY112"/>
          <cell r="BZ112"/>
          <cell r="CA112"/>
          <cell r="CB112"/>
          <cell r="CC112"/>
        </row>
        <row r="113">
          <cell r="A113">
            <v>890</v>
          </cell>
          <cell r="B113" t="str">
            <v>Übrige Partner</v>
          </cell>
          <cell r="C113">
            <v>1571034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>
            <v>175000</v>
          </cell>
          <cell r="R113"/>
          <cell r="S113"/>
          <cell r="T113">
            <v>7875</v>
          </cell>
          <cell r="U113"/>
          <cell r="V113"/>
          <cell r="W113"/>
          <cell r="X113">
            <v>50000</v>
          </cell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>
            <v>8189</v>
          </cell>
          <cell r="AJ113">
            <v>50000</v>
          </cell>
          <cell r="AK113">
            <v>15000</v>
          </cell>
          <cell r="AL113"/>
          <cell r="AM113">
            <v>25000</v>
          </cell>
          <cell r="AN113">
            <v>842898</v>
          </cell>
          <cell r="AO113"/>
          <cell r="AP113"/>
          <cell r="AQ113"/>
          <cell r="AR113">
            <v>41890</v>
          </cell>
          <cell r="AS113"/>
          <cell r="AT113"/>
          <cell r="AU113"/>
          <cell r="AV113"/>
          <cell r="AW113">
            <v>92000</v>
          </cell>
          <cell r="AX113"/>
          <cell r="AY113">
            <v>45000</v>
          </cell>
          <cell r="AZ113"/>
          <cell r="BA113">
            <v>75000</v>
          </cell>
          <cell r="BB113"/>
          <cell r="BC113"/>
          <cell r="BD113"/>
          <cell r="BE113">
            <v>15000</v>
          </cell>
          <cell r="BF113"/>
          <cell r="BG113">
            <v>3700</v>
          </cell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>
            <v>20000</v>
          </cell>
          <cell r="BU113"/>
          <cell r="BV113"/>
          <cell r="BW113"/>
          <cell r="BX113"/>
          <cell r="BY113"/>
          <cell r="BZ113"/>
          <cell r="CA113"/>
          <cell r="CB113"/>
          <cell r="CC113">
            <v>97482</v>
          </cell>
        </row>
        <row r="114">
          <cell r="A114" t="str">
            <v>id1</v>
          </cell>
          <cell r="B114" t="str">
            <v>tit</v>
          </cell>
          <cell r="C114" t="str">
            <v>tot</v>
          </cell>
          <cell r="D114" t="str">
            <v>id1</v>
          </cell>
          <cell r="E114" t="str">
            <v>id2</v>
          </cell>
          <cell r="F114" t="str">
            <v>id7</v>
          </cell>
          <cell r="G114" t="str">
            <v>id4</v>
          </cell>
          <cell r="H114" t="str">
            <v>id5</v>
          </cell>
          <cell r="I114"/>
          <cell r="J114"/>
          <cell r="K114" t="str">
            <v>id8</v>
          </cell>
          <cell r="L114" t="str">
            <v>id9</v>
          </cell>
          <cell r="M114" t="str">
            <v>id10</v>
          </cell>
          <cell r="N114" t="str">
            <v>id11</v>
          </cell>
          <cell r="O114" t="str">
            <v>id12</v>
          </cell>
          <cell r="P114"/>
          <cell r="Q114"/>
          <cell r="R114"/>
          <cell r="S114"/>
          <cell r="T114"/>
          <cell r="U114"/>
          <cell r="V114"/>
          <cell r="W114"/>
          <cell r="X114" t="str">
            <v>id8</v>
          </cell>
          <cell r="Y114"/>
          <cell r="Z114" t="str">
            <v>id23</v>
          </cell>
          <cell r="AA114" t="str">
            <v>id24</v>
          </cell>
          <cell r="AB114" t="str">
            <v>id25</v>
          </cell>
          <cell r="AC114"/>
          <cell r="AD114"/>
          <cell r="AE114"/>
          <cell r="AF114"/>
          <cell r="AG114"/>
          <cell r="AH114"/>
          <cell r="AI114" t="str">
            <v>id32</v>
          </cell>
          <cell r="AJ114" t="str">
            <v>id33</v>
          </cell>
          <cell r="AK114"/>
          <cell r="AL114" t="str">
            <v>id35</v>
          </cell>
          <cell r="AM114" t="str">
            <v>id36</v>
          </cell>
          <cell r="AN114" t="str">
            <v>id37</v>
          </cell>
          <cell r="AO114" t="str">
            <v>id38</v>
          </cell>
          <cell r="AP114" t="str">
            <v>id39</v>
          </cell>
          <cell r="AQ114"/>
          <cell r="AR114" t="str">
            <v>id41</v>
          </cell>
          <cell r="AS114" t="str">
            <v>id42</v>
          </cell>
          <cell r="AT114"/>
          <cell r="AU114"/>
          <cell r="AV114" t="str">
            <v>id45</v>
          </cell>
          <cell r="AW114" t="str">
            <v>id46</v>
          </cell>
          <cell r="AX114" t="str">
            <v>id47</v>
          </cell>
          <cell r="AY114"/>
          <cell r="AZ114"/>
          <cell r="BA114"/>
          <cell r="BB114" t="str">
            <v>id51</v>
          </cell>
          <cell r="BC114" t="str">
            <v>id52</v>
          </cell>
          <cell r="BD114" t="str">
            <v>id53</v>
          </cell>
          <cell r="BE114" t="str">
            <v>id54</v>
          </cell>
          <cell r="BF114" t="str">
            <v>id7</v>
          </cell>
          <cell r="BG114"/>
          <cell r="BH114"/>
          <cell r="BI114"/>
          <cell r="BJ114"/>
          <cell r="BK114"/>
          <cell r="BL114"/>
          <cell r="BM114" t="str">
            <v>id62</v>
          </cell>
          <cell r="BN114" t="str">
            <v>id63</v>
          </cell>
          <cell r="BO114"/>
          <cell r="BP114"/>
          <cell r="BQ114"/>
          <cell r="BR114"/>
          <cell r="BS114" t="str">
            <v>id7</v>
          </cell>
          <cell r="BT114" t="str">
            <v>id69</v>
          </cell>
          <cell r="BU114"/>
          <cell r="BV114" t="str">
            <v>id71</v>
          </cell>
          <cell r="BW114" t="str">
            <v>id72</v>
          </cell>
          <cell r="BX114" t="str">
            <v>id73</v>
          </cell>
          <cell r="BY114"/>
          <cell r="BZ114" t="str">
            <v>id75</v>
          </cell>
          <cell r="CA114"/>
          <cell r="CB114"/>
          <cell r="CC114"/>
        </row>
        <row r="115">
          <cell r="A115" t="str">
            <v>k1</v>
          </cell>
          <cell r="B115" t="str">
            <v>Koproduktionsland 1</v>
          </cell>
          <cell r="C115"/>
          <cell r="D115" t="str">
            <v>DE</v>
          </cell>
          <cell r="E115" t="str">
            <v>CA</v>
          </cell>
          <cell r="F115"/>
          <cell r="G115"/>
          <cell r="H115"/>
          <cell r="I115"/>
          <cell r="J115"/>
          <cell r="K115"/>
          <cell r="L115"/>
          <cell r="M115" t="str">
            <v>FR</v>
          </cell>
          <cell r="N115" t="str">
            <v>DE</v>
          </cell>
          <cell r="O115" t="str">
            <v>UK</v>
          </cell>
          <cell r="P115"/>
          <cell r="Q115" t="str">
            <v>AT</v>
          </cell>
          <cell r="R115" t="str">
            <v>BE</v>
          </cell>
          <cell r="S115" t="str">
            <v>BE</v>
          </cell>
          <cell r="T115" t="str">
            <v>IT</v>
          </cell>
          <cell r="U115" t="str">
            <v>DE</v>
          </cell>
          <cell r="V115"/>
          <cell r="W115"/>
          <cell r="X115"/>
          <cell r="Y115"/>
          <cell r="Z115"/>
          <cell r="AA115" t="str">
            <v>DE</v>
          </cell>
          <cell r="AB115" t="str">
            <v>DE</v>
          </cell>
          <cell r="AC115" t="str">
            <v>FR</v>
          </cell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 t="str">
            <v>CA</v>
          </cell>
          <cell r="AQ115" t="str">
            <v>IT</v>
          </cell>
          <cell r="AR115"/>
          <cell r="AS115"/>
          <cell r="AT115"/>
          <cell r="AU115" t="str">
            <v>IT</v>
          </cell>
          <cell r="AV115" t="str">
            <v>FR</v>
          </cell>
          <cell r="AW115" t="str">
            <v>FR</v>
          </cell>
          <cell r="AX115" t="str">
            <v>FR</v>
          </cell>
          <cell r="AY115"/>
          <cell r="AZ115" t="str">
            <v>DE</v>
          </cell>
          <cell r="BA115"/>
          <cell r="BB115"/>
          <cell r="BC115" t="str">
            <v>DE</v>
          </cell>
          <cell r="BD115" t="str">
            <v>FR</v>
          </cell>
          <cell r="BE115"/>
          <cell r="BF115"/>
          <cell r="BG115" t="str">
            <v>FR</v>
          </cell>
          <cell r="BH115"/>
          <cell r="BI115"/>
          <cell r="BJ115"/>
          <cell r="BK115"/>
          <cell r="BL115" t="str">
            <v>FR</v>
          </cell>
          <cell r="BM115"/>
          <cell r="BN115"/>
          <cell r="BO115"/>
          <cell r="BP115"/>
          <cell r="BQ115"/>
          <cell r="BR115"/>
          <cell r="BS115"/>
          <cell r="BT115"/>
          <cell r="BU115"/>
          <cell r="BV115" t="str">
            <v>MA</v>
          </cell>
          <cell r="BW115" t="str">
            <v>DE</v>
          </cell>
          <cell r="BX115" t="str">
            <v>DE</v>
          </cell>
          <cell r="BY115" t="str">
            <v>DE</v>
          </cell>
          <cell r="BZ115"/>
          <cell r="CA115"/>
          <cell r="CB115"/>
          <cell r="CC115" t="str">
            <v>DE</v>
          </cell>
        </row>
        <row r="116">
          <cell r="A116" t="str">
            <v>bk1</v>
          </cell>
          <cell r="B116" t="str">
            <v>CHF</v>
          </cell>
          <cell r="C116">
            <v>17976383</v>
          </cell>
          <cell r="D116">
            <v>222622</v>
          </cell>
          <cell r="E116">
            <v>187791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248400</v>
          </cell>
          <cell r="N116">
            <v>1056369</v>
          </cell>
          <cell r="O116">
            <v>190938</v>
          </cell>
          <cell r="P116">
            <v>0</v>
          </cell>
          <cell r="Q116">
            <v>600000</v>
          </cell>
          <cell r="R116">
            <v>1311643</v>
          </cell>
          <cell r="S116">
            <v>419805</v>
          </cell>
          <cell r="T116">
            <v>143000</v>
          </cell>
          <cell r="U116">
            <v>147415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276061</v>
          </cell>
          <cell r="AB116">
            <v>647981</v>
          </cell>
          <cell r="AC116">
            <v>218000</v>
          </cell>
          <cell r="AD116">
            <v>0</v>
          </cell>
          <cell r="AE116">
            <v>0</v>
          </cell>
          <cell r="AF116">
            <v>0</v>
          </cell>
          <cell r="AG116"/>
          <cell r="AH116"/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306499</v>
          </cell>
          <cell r="AQ116">
            <v>887993</v>
          </cell>
          <cell r="AR116">
            <v>0</v>
          </cell>
          <cell r="AS116">
            <v>0</v>
          </cell>
          <cell r="AT116">
            <v>0</v>
          </cell>
          <cell r="AU116">
            <v>3498406</v>
          </cell>
          <cell r="AV116">
            <v>870143</v>
          </cell>
          <cell r="AW116">
            <v>1158525</v>
          </cell>
          <cell r="AX116">
            <v>731116</v>
          </cell>
          <cell r="AY116">
            <v>0</v>
          </cell>
          <cell r="AZ116">
            <v>333805</v>
          </cell>
          <cell r="BA116">
            <v>0</v>
          </cell>
          <cell r="BB116">
            <v>0</v>
          </cell>
          <cell r="BC116">
            <v>425113</v>
          </cell>
          <cell r="BD116">
            <v>82122</v>
          </cell>
          <cell r="BE116">
            <v>0</v>
          </cell>
          <cell r="BF116">
            <v>0</v>
          </cell>
          <cell r="BG116">
            <v>134615</v>
          </cell>
          <cell r="BH116">
            <v>0</v>
          </cell>
          <cell r="BI116">
            <v>0</v>
          </cell>
          <cell r="BJ116">
            <v>0</v>
          </cell>
          <cell r="BK116">
            <v>0</v>
          </cell>
          <cell r="BL116">
            <v>1654076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402183</v>
          </cell>
          <cell r="BW116">
            <v>85336</v>
          </cell>
          <cell r="BX116">
            <v>230878</v>
          </cell>
          <cell r="BY116">
            <v>443428</v>
          </cell>
          <cell r="BZ116">
            <v>0</v>
          </cell>
          <cell r="CA116">
            <v>0</v>
          </cell>
          <cell r="CB116">
            <v>0</v>
          </cell>
          <cell r="CC116">
            <v>1059961</v>
          </cell>
        </row>
        <row r="117">
          <cell r="A117"/>
          <cell r="B117" t="str">
            <v>%</v>
          </cell>
          <cell r="C117">
            <v>0.20021515319535452</v>
          </cell>
          <cell r="D117">
            <v>0.20688046538858273</v>
          </cell>
          <cell r="E117">
            <v>0.69749069596416557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0.5</v>
          </cell>
          <cell r="N117">
            <v>0.23364332605148663</v>
          </cell>
          <cell r="O117">
            <v>0.35915445270412616</v>
          </cell>
          <cell r="P117">
            <v>0</v>
          </cell>
          <cell r="Q117">
            <v>0.12015822434982384</v>
          </cell>
          <cell r="R117">
            <v>0.80091825357183422</v>
          </cell>
          <cell r="S117">
            <v>0.1492495128472863</v>
          </cell>
          <cell r="T117">
            <v>0.3091891891891892</v>
          </cell>
          <cell r="U117">
            <v>0.50000169589830035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0.75331823391366037</v>
          </cell>
          <cell r="AB117">
            <v>0.22788076281805333</v>
          </cell>
          <cell r="AC117">
            <v>9.9070914779017319E-2</v>
          </cell>
          <cell r="AD117">
            <v>0</v>
          </cell>
          <cell r="AE117">
            <v>0</v>
          </cell>
          <cell r="AF117">
            <v>0</v>
          </cell>
          <cell r="AG117"/>
          <cell r="AH117"/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0.52440681098024189</v>
          </cell>
          <cell r="AQ117">
            <v>0.63999956756445087</v>
          </cell>
          <cell r="AR117">
            <v>0</v>
          </cell>
          <cell r="AS117">
            <v>0</v>
          </cell>
          <cell r="AT117">
            <v>0</v>
          </cell>
          <cell r="AU117">
            <v>0.69999997999088781</v>
          </cell>
          <cell r="AV117">
            <v>0.80632779900346851</v>
          </cell>
          <cell r="AW117">
            <v>0.24220588456656011</v>
          </cell>
          <cell r="AX117">
            <v>0.87730480965146163</v>
          </cell>
          <cell r="AY117">
            <v>0</v>
          </cell>
          <cell r="AZ117">
            <v>0.47161387580832248</v>
          </cell>
          <cell r="BA117">
            <v>0</v>
          </cell>
          <cell r="BB117">
            <v>0</v>
          </cell>
          <cell r="BC117">
            <v>0.72599268052346377</v>
          </cell>
          <cell r="BD117">
            <v>0.13379036869655317</v>
          </cell>
          <cell r="BE117">
            <v>0</v>
          </cell>
          <cell r="BF117">
            <v>0</v>
          </cell>
          <cell r="BG117">
            <v>0.64531051508832482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0.6298523342115574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0.18644425303714857</v>
          </cell>
          <cell r="BW117">
            <v>0.25433119443508945</v>
          </cell>
          <cell r="BX117">
            <v>0.25336600665245163</v>
          </cell>
          <cell r="BY117">
            <v>0.11494484084747933</v>
          </cell>
          <cell r="BZ117">
            <v>0</v>
          </cell>
          <cell r="CA117">
            <v>0</v>
          </cell>
          <cell r="CB117">
            <v>0</v>
          </cell>
          <cell r="CC117">
            <v>0.18736147335171074</v>
          </cell>
        </row>
        <row r="118">
          <cell r="A118">
            <v>1911</v>
          </cell>
          <cell r="B118" t="str">
            <v>Eurimages</v>
          </cell>
          <cell r="C118">
            <v>212538</v>
          </cell>
          <cell r="D118">
            <v>32247</v>
          </cell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>
            <v>125111</v>
          </cell>
          <cell r="AR118"/>
          <cell r="AS118"/>
          <cell r="AT118"/>
          <cell r="AU118">
            <v>54985</v>
          </cell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>
            <v>32442</v>
          </cell>
          <cell r="BY118"/>
          <cell r="BZ118"/>
          <cell r="CA118"/>
          <cell r="CB118"/>
          <cell r="CC118"/>
        </row>
        <row r="119">
          <cell r="A119">
            <v>1912</v>
          </cell>
          <cell r="B119" t="str">
            <v>MEDIA/Creative Europe</v>
          </cell>
          <cell r="C119">
            <v>22785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>
            <v>22785</v>
          </cell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  <cell r="BZ119"/>
          <cell r="CA119"/>
          <cell r="CB119"/>
          <cell r="CC119"/>
        </row>
        <row r="120">
          <cell r="A120">
            <v>1920</v>
          </cell>
          <cell r="B120" t="str">
            <v>National</v>
          </cell>
          <cell r="C120">
            <v>3401087</v>
          </cell>
          <cell r="D120"/>
          <cell r="E120">
            <v>72200</v>
          </cell>
          <cell r="F120"/>
          <cell r="G120"/>
          <cell r="H120"/>
          <cell r="I120"/>
          <cell r="J120"/>
          <cell r="K120"/>
          <cell r="L120"/>
          <cell r="M120">
            <v>68040</v>
          </cell>
          <cell r="N120"/>
          <cell r="O120">
            <v>6250</v>
          </cell>
          <cell r="P120"/>
          <cell r="Q120"/>
          <cell r="R120">
            <v>459000</v>
          </cell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>
            <v>306499</v>
          </cell>
          <cell r="AQ120">
            <v>213460</v>
          </cell>
          <cell r="AR120"/>
          <cell r="AS120"/>
          <cell r="AT120"/>
          <cell r="AU120">
            <v>426920</v>
          </cell>
          <cell r="AV120">
            <v>216200</v>
          </cell>
          <cell r="AW120">
            <v>412595</v>
          </cell>
          <cell r="AX120"/>
          <cell r="AY120"/>
          <cell r="AZ120"/>
          <cell r="BA120"/>
          <cell r="BB120"/>
          <cell r="BC120">
            <v>86800</v>
          </cell>
          <cell r="BD120">
            <v>5500</v>
          </cell>
          <cell r="BE120"/>
          <cell r="BF120"/>
          <cell r="BG120">
            <v>134615</v>
          </cell>
          <cell r="BH120"/>
          <cell r="BI120"/>
          <cell r="BJ120"/>
          <cell r="BK120"/>
          <cell r="BL120">
            <v>589600</v>
          </cell>
          <cell r="BM120"/>
          <cell r="BN120"/>
          <cell r="BO120"/>
          <cell r="BP120"/>
          <cell r="BQ120"/>
          <cell r="BR120"/>
          <cell r="BS120"/>
          <cell r="BT120"/>
          <cell r="BU120"/>
          <cell r="BV120">
            <v>379202</v>
          </cell>
          <cell r="BW120"/>
          <cell r="BX120"/>
          <cell r="BY120"/>
          <cell r="BZ120"/>
          <cell r="CA120"/>
          <cell r="CB120"/>
          <cell r="CC120"/>
        </row>
        <row r="121">
          <cell r="A121">
            <v>1925</v>
          </cell>
          <cell r="B121" t="str">
            <v>Standortförderung</v>
          </cell>
          <cell r="C121">
            <v>2457177</v>
          </cell>
          <cell r="D121"/>
          <cell r="E121">
            <v>36121</v>
          </cell>
          <cell r="F121"/>
          <cell r="G121"/>
          <cell r="H121"/>
          <cell r="I121"/>
          <cell r="J121"/>
          <cell r="K121"/>
          <cell r="L121"/>
          <cell r="M121"/>
          <cell r="N121">
            <v>354890</v>
          </cell>
          <cell r="O121">
            <v>27500</v>
          </cell>
          <cell r="P121"/>
          <cell r="Q121"/>
          <cell r="R121">
            <v>475200</v>
          </cell>
          <cell r="S121">
            <v>300160</v>
          </cell>
          <cell r="T121"/>
          <cell r="U121"/>
          <cell r="V121"/>
          <cell r="W121"/>
          <cell r="X121"/>
          <cell r="Y121"/>
          <cell r="Z121"/>
          <cell r="AA121"/>
          <cell r="AB121">
            <v>129816</v>
          </cell>
          <cell r="AC121">
            <v>109000</v>
          </cell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>
            <v>98538</v>
          </cell>
          <cell r="AR121"/>
          <cell r="AS121"/>
          <cell r="AT121"/>
          <cell r="AU121">
            <v>859631</v>
          </cell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  <cell r="BZ121"/>
          <cell r="CA121"/>
          <cell r="CB121"/>
          <cell r="CC121"/>
        </row>
        <row r="122">
          <cell r="A122">
            <v>1930</v>
          </cell>
          <cell r="B122" t="str">
            <v>Regional</v>
          </cell>
          <cell r="C122">
            <v>3101146</v>
          </cell>
          <cell r="D122">
            <v>108140</v>
          </cell>
          <cell r="E122">
            <v>7600</v>
          </cell>
          <cell r="F122"/>
          <cell r="G122"/>
          <cell r="H122"/>
          <cell r="I122"/>
          <cell r="J122"/>
          <cell r="K122"/>
          <cell r="L122"/>
          <cell r="M122">
            <v>76140</v>
          </cell>
          <cell r="N122">
            <v>372841</v>
          </cell>
          <cell r="O122">
            <v>100000</v>
          </cell>
          <cell r="P122"/>
          <cell r="Q122"/>
          <cell r="R122">
            <v>162000</v>
          </cell>
          <cell r="S122"/>
          <cell r="T122"/>
          <cell r="U122"/>
          <cell r="V122"/>
          <cell r="W122"/>
          <cell r="X122"/>
          <cell r="Y122"/>
          <cell r="Z122"/>
          <cell r="AA122">
            <v>153063</v>
          </cell>
          <cell r="AB122">
            <v>270450</v>
          </cell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>
            <v>234005</v>
          </cell>
          <cell r="AR122"/>
          <cell r="AS122"/>
          <cell r="AT122"/>
          <cell r="AU122">
            <v>691224</v>
          </cell>
          <cell r="AV122"/>
          <cell r="AW122"/>
          <cell r="AX122"/>
          <cell r="AY122"/>
          <cell r="AZ122"/>
          <cell r="BA122"/>
          <cell r="BB122"/>
          <cell r="BC122">
            <v>151900</v>
          </cell>
          <cell r="BD122">
            <v>9900</v>
          </cell>
          <cell r="BE122"/>
          <cell r="BF122"/>
          <cell r="BG122"/>
          <cell r="BH122"/>
          <cell r="BI122"/>
          <cell r="BJ122"/>
          <cell r="BK122"/>
          <cell r="BL122">
            <v>321600</v>
          </cell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>
            <v>38000</v>
          </cell>
          <cell r="BX122">
            <v>81105</v>
          </cell>
          <cell r="BY122"/>
          <cell r="BZ122"/>
          <cell r="CA122"/>
          <cell r="CB122"/>
          <cell r="CC122">
            <v>385000</v>
          </cell>
        </row>
        <row r="123">
          <cell r="A123">
            <v>1940</v>
          </cell>
          <cell r="B123" t="str">
            <v>Fernsehen</v>
          </cell>
          <cell r="C123">
            <v>2978843</v>
          </cell>
          <cell r="D123">
            <v>52500</v>
          </cell>
          <cell r="E123">
            <v>49400</v>
          </cell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>
            <v>123643</v>
          </cell>
          <cell r="S123">
            <v>63767</v>
          </cell>
          <cell r="T123"/>
          <cell r="U123"/>
          <cell r="V123"/>
          <cell r="W123"/>
          <cell r="X123"/>
          <cell r="Y123"/>
          <cell r="Z123"/>
          <cell r="AA123">
            <v>109330</v>
          </cell>
          <cell r="AB123">
            <v>200133</v>
          </cell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>
            <v>192114</v>
          </cell>
          <cell r="AR123"/>
          <cell r="AS123"/>
          <cell r="AT123"/>
          <cell r="AU123">
            <v>1387490</v>
          </cell>
          <cell r="AV123">
            <v>302680</v>
          </cell>
          <cell r="AW123">
            <v>287731</v>
          </cell>
          <cell r="AX123"/>
          <cell r="AY123"/>
          <cell r="AZ123"/>
          <cell r="BA123"/>
          <cell r="BB123"/>
          <cell r="BC123">
            <v>75950</v>
          </cell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>
            <v>47000</v>
          </cell>
          <cell r="BX123">
            <v>81105</v>
          </cell>
          <cell r="BY123"/>
          <cell r="BZ123"/>
          <cell r="CA123"/>
          <cell r="CB123"/>
          <cell r="CC123"/>
        </row>
        <row r="124">
          <cell r="A124">
            <v>1950</v>
          </cell>
          <cell r="B124" t="str">
            <v>Nationale Auswertung</v>
          </cell>
          <cell r="C124">
            <v>297384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>
            <v>32400</v>
          </cell>
          <cell r="N124">
            <v>21306</v>
          </cell>
          <cell r="O124"/>
          <cell r="P124"/>
          <cell r="Q124"/>
          <cell r="R124">
            <v>27000</v>
          </cell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>
            <v>54500</v>
          </cell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>
            <v>108578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>
            <v>53600</v>
          </cell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  <cell r="BZ124"/>
          <cell r="CA124"/>
          <cell r="CB124"/>
          <cell r="CC124"/>
        </row>
        <row r="125">
          <cell r="A125">
            <v>1955</v>
          </cell>
          <cell r="B125" t="str">
            <v>World Sales</v>
          </cell>
          <cell r="C125">
            <v>286384</v>
          </cell>
          <cell r="D125">
            <v>2163</v>
          </cell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>
            <v>3216</v>
          </cell>
          <cell r="T125"/>
          <cell r="U125"/>
          <cell r="V125"/>
          <cell r="W125"/>
          <cell r="X125"/>
          <cell r="Y125"/>
          <cell r="Z125"/>
          <cell r="AA125"/>
          <cell r="AB125"/>
          <cell r="AC125">
            <v>10900</v>
          </cell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>
            <v>53365</v>
          </cell>
          <cell r="AV125">
            <v>216200</v>
          </cell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>
            <v>2703</v>
          </cell>
          <cell r="BY125"/>
          <cell r="BZ125"/>
          <cell r="CA125"/>
          <cell r="CB125"/>
          <cell r="CC125"/>
        </row>
        <row r="126">
          <cell r="A126">
            <v>1960</v>
          </cell>
          <cell r="B126" t="str">
            <v>Andere Koproduzenten</v>
          </cell>
          <cell r="C126">
            <v>735160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>
            <v>245010</v>
          </cell>
          <cell r="O126">
            <v>12500</v>
          </cell>
          <cell r="P126"/>
          <cell r="Q126"/>
          <cell r="R126">
            <v>43200</v>
          </cell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>
            <v>187200</v>
          </cell>
          <cell r="BA126"/>
          <cell r="BB126"/>
          <cell r="BC126">
            <v>10850</v>
          </cell>
          <cell r="BD126">
            <v>22000</v>
          </cell>
          <cell r="BE126"/>
          <cell r="BF126"/>
          <cell r="BG126"/>
          <cell r="BH126"/>
          <cell r="BI126"/>
          <cell r="BJ126"/>
          <cell r="BK126"/>
          <cell r="BL126">
            <v>214400</v>
          </cell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  <cell r="BZ126"/>
          <cell r="CA126"/>
          <cell r="CB126"/>
          <cell r="CC126"/>
        </row>
        <row r="127">
          <cell r="A127">
            <v>1970</v>
          </cell>
          <cell r="B127" t="str">
            <v>Eigenmittel ausländische/r Produzent/in</v>
          </cell>
          <cell r="C127">
            <v>1923854</v>
          </cell>
          <cell r="D127">
            <v>27572</v>
          </cell>
          <cell r="E127">
            <v>22470</v>
          </cell>
          <cell r="F127"/>
          <cell r="G127"/>
          <cell r="H127"/>
          <cell r="I127"/>
          <cell r="J127"/>
          <cell r="K127"/>
          <cell r="L127"/>
          <cell r="M127">
            <v>71820</v>
          </cell>
          <cell r="N127">
            <v>62322</v>
          </cell>
          <cell r="O127">
            <v>37813</v>
          </cell>
          <cell r="P127"/>
          <cell r="Q127"/>
          <cell r="R127"/>
          <cell r="S127">
            <v>52662</v>
          </cell>
          <cell r="T127"/>
          <cell r="U127">
            <v>147415</v>
          </cell>
          <cell r="V127"/>
          <cell r="W127"/>
          <cell r="X127"/>
          <cell r="Y127"/>
          <cell r="Z127"/>
          <cell r="AA127">
            <v>13668</v>
          </cell>
          <cell r="AB127">
            <v>47582</v>
          </cell>
          <cell r="AC127">
            <v>43600</v>
          </cell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>
            <v>24765</v>
          </cell>
          <cell r="AR127"/>
          <cell r="AS127"/>
          <cell r="AT127"/>
          <cell r="AU127">
            <v>24791</v>
          </cell>
          <cell r="AV127">
            <v>135063</v>
          </cell>
          <cell r="AW127">
            <v>241043</v>
          </cell>
          <cell r="AX127"/>
          <cell r="AY127"/>
          <cell r="AZ127">
            <v>129405</v>
          </cell>
          <cell r="BA127"/>
          <cell r="BB127"/>
          <cell r="BC127">
            <v>76828</v>
          </cell>
          <cell r="BD127">
            <v>37792</v>
          </cell>
          <cell r="BE127"/>
          <cell r="BF127"/>
          <cell r="BG127"/>
          <cell r="BH127"/>
          <cell r="BI127"/>
          <cell r="BJ127"/>
          <cell r="BK127"/>
          <cell r="BL127">
            <v>163996</v>
          </cell>
          <cell r="BM127"/>
          <cell r="BN127"/>
          <cell r="BO127"/>
          <cell r="BP127"/>
          <cell r="BQ127"/>
          <cell r="BR127"/>
          <cell r="BS127"/>
          <cell r="BT127"/>
          <cell r="BU127"/>
          <cell r="BV127">
            <v>22981</v>
          </cell>
          <cell r="BW127">
            <v>336</v>
          </cell>
          <cell r="BX127">
            <v>33523</v>
          </cell>
          <cell r="BY127">
            <v>443428</v>
          </cell>
          <cell r="BZ127"/>
          <cell r="CA127"/>
          <cell r="CB127"/>
          <cell r="CC127">
            <v>61115</v>
          </cell>
        </row>
        <row r="128">
          <cell r="A128">
            <v>1980</v>
          </cell>
          <cell r="B128" t="str">
            <v>Andere Partner</v>
          </cell>
          <cell r="C128">
            <v>2560025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>
            <v>6875</v>
          </cell>
          <cell r="P128"/>
          <cell r="Q128">
            <v>600000</v>
          </cell>
          <cell r="R128">
            <v>21600</v>
          </cell>
          <cell r="S128"/>
          <cell r="T128">
            <v>143000</v>
          </cell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>
            <v>108578</v>
          </cell>
          <cell r="AX128">
            <v>731116</v>
          </cell>
          <cell r="AY128"/>
          <cell r="AZ128">
            <v>17200</v>
          </cell>
          <cell r="BA128"/>
          <cell r="BB128"/>
          <cell r="BC128"/>
          <cell r="BD128">
            <v>6930</v>
          </cell>
          <cell r="BE128"/>
          <cell r="BF128"/>
          <cell r="BG128"/>
          <cell r="BH128"/>
          <cell r="BI128"/>
          <cell r="BJ128"/>
          <cell r="BK128"/>
          <cell r="BL128">
            <v>310880</v>
          </cell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  <cell r="BZ128"/>
          <cell r="CA128"/>
          <cell r="CB128"/>
          <cell r="CC128">
            <v>613846</v>
          </cell>
        </row>
        <row r="129">
          <cell r="A129" t="str">
            <v>id2</v>
          </cell>
          <cell r="B129" t="str">
            <v>tit</v>
          </cell>
          <cell r="C129" t="str">
            <v>tot</v>
          </cell>
          <cell r="D129" t="str">
            <v>id1</v>
          </cell>
          <cell r="E129" t="str">
            <v>id2</v>
          </cell>
          <cell r="F129" t="str">
            <v>id7</v>
          </cell>
          <cell r="G129" t="str">
            <v>id4</v>
          </cell>
          <cell r="H129" t="str">
            <v>id5</v>
          </cell>
          <cell r="I129"/>
          <cell r="J129"/>
          <cell r="K129" t="str">
            <v>id8</v>
          </cell>
          <cell r="L129" t="str">
            <v>id9</v>
          </cell>
          <cell r="M129" t="str">
            <v>id10</v>
          </cell>
          <cell r="N129" t="str">
            <v>id11</v>
          </cell>
          <cell r="O129" t="str">
            <v>id12</v>
          </cell>
          <cell r="P129"/>
          <cell r="Q129"/>
          <cell r="R129"/>
          <cell r="S129"/>
          <cell r="T129"/>
          <cell r="U129"/>
          <cell r="V129"/>
          <cell r="W129"/>
          <cell r="X129" t="str">
            <v>id8</v>
          </cell>
          <cell r="Y129"/>
          <cell r="Z129" t="str">
            <v>id23</v>
          </cell>
          <cell r="AA129" t="str">
            <v>id24</v>
          </cell>
          <cell r="AB129" t="str">
            <v>id25</v>
          </cell>
          <cell r="AC129"/>
          <cell r="AD129"/>
          <cell r="AE129"/>
          <cell r="AF129"/>
          <cell r="AG129"/>
          <cell r="AH129"/>
          <cell r="AI129" t="str">
            <v>id32</v>
          </cell>
          <cell r="AJ129"/>
          <cell r="AK129"/>
          <cell r="AL129" t="str">
            <v>id35</v>
          </cell>
          <cell r="AM129" t="str">
            <v>id36</v>
          </cell>
          <cell r="AN129" t="str">
            <v>id37</v>
          </cell>
          <cell r="AO129" t="str">
            <v>id38</v>
          </cell>
          <cell r="AP129" t="str">
            <v>id39</v>
          </cell>
          <cell r="AQ129"/>
          <cell r="AR129" t="str">
            <v>id41</v>
          </cell>
          <cell r="AS129" t="str">
            <v>id42</v>
          </cell>
          <cell r="AT129"/>
          <cell r="AU129"/>
          <cell r="AV129" t="str">
            <v>id45</v>
          </cell>
          <cell r="AW129" t="str">
            <v>id46</v>
          </cell>
          <cell r="AX129"/>
          <cell r="AY129"/>
          <cell r="AZ129"/>
          <cell r="BA129"/>
          <cell r="BB129" t="str">
            <v>id51</v>
          </cell>
          <cell r="BC129" t="str">
            <v>id52</v>
          </cell>
          <cell r="BD129" t="str">
            <v>id53</v>
          </cell>
          <cell r="BE129" t="str">
            <v>id54</v>
          </cell>
          <cell r="BF129" t="str">
            <v>id7</v>
          </cell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 t="str">
            <v>id7</v>
          </cell>
          <cell r="BT129" t="str">
            <v>id69</v>
          </cell>
          <cell r="BU129"/>
          <cell r="BV129" t="str">
            <v>id71</v>
          </cell>
          <cell r="BW129" t="str">
            <v>id72</v>
          </cell>
          <cell r="BX129" t="str">
            <v>id73</v>
          </cell>
          <cell r="BY129"/>
          <cell r="BZ129" t="str">
            <v>id75</v>
          </cell>
          <cell r="CA129"/>
          <cell r="CB129"/>
          <cell r="CC129"/>
        </row>
        <row r="130">
          <cell r="A130" t="str">
            <v>k2</v>
          </cell>
          <cell r="B130" t="str">
            <v>Koproduktionsland 2</v>
          </cell>
          <cell r="C130"/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 t="str">
            <v>UK</v>
          </cell>
          <cell r="O130"/>
          <cell r="P130"/>
          <cell r="Q130"/>
          <cell r="R130"/>
          <cell r="S130"/>
          <cell r="T130" t="str">
            <v>AR</v>
          </cell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 t="str">
            <v>FR</v>
          </cell>
          <cell r="AR130"/>
          <cell r="AS130"/>
          <cell r="AT130"/>
          <cell r="AU130" t="str">
            <v>FR</v>
          </cell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 t="str">
            <v>FR</v>
          </cell>
          <cell r="BY130"/>
          <cell r="BZ130"/>
          <cell r="CA130"/>
          <cell r="CB130"/>
          <cell r="CC130"/>
        </row>
        <row r="131">
          <cell r="A131" t="str">
            <v>bk2</v>
          </cell>
          <cell r="B131" t="str">
            <v>CHF</v>
          </cell>
          <cell r="C131">
            <v>1390201</v>
          </cell>
          <cell r="D131">
            <v>0</v>
          </cell>
          <cell r="E131">
            <v>0</v>
          </cell>
          <cell r="F131">
            <v>0</v>
          </cell>
          <cell r="G131"/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468445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130000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/>
          <cell r="AH131"/>
          <cell r="AI131">
            <v>0</v>
          </cell>
          <cell r="AJ131"/>
          <cell r="AK131">
            <v>0</v>
          </cell>
          <cell r="AL131">
            <v>0</v>
          </cell>
          <cell r="AM131"/>
          <cell r="AN131"/>
          <cell r="AO131">
            <v>0</v>
          </cell>
          <cell r="AP131">
            <v>0</v>
          </cell>
          <cell r="AQ131">
            <v>138750</v>
          </cell>
          <cell r="AR131"/>
          <cell r="AS131"/>
          <cell r="AT131">
            <v>0</v>
          </cell>
          <cell r="AU131">
            <v>499772</v>
          </cell>
          <cell r="AV131"/>
          <cell r="AW131">
            <v>0</v>
          </cell>
          <cell r="AX131"/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/>
          <cell r="BN131"/>
          <cell r="BO131">
            <v>0</v>
          </cell>
          <cell r="BP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V131">
            <v>0</v>
          </cell>
          <cell r="BW131">
            <v>0</v>
          </cell>
          <cell r="BX131">
            <v>153234</v>
          </cell>
          <cell r="BY131">
            <v>0</v>
          </cell>
          <cell r="BZ131">
            <v>0</v>
          </cell>
          <cell r="CA131">
            <v>0</v>
          </cell>
          <cell r="CB131">
            <v>0</v>
          </cell>
          <cell r="CC131">
            <v>0</v>
          </cell>
        </row>
        <row r="132">
          <cell r="A132"/>
          <cell r="B132" t="str">
            <v>%</v>
          </cell>
          <cell r="C132">
            <v>1.5483610144895948E-2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0.10360872751111463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0.2810810810810811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/>
          <cell r="AH132"/>
          <cell r="AI132">
            <v>0</v>
          </cell>
          <cell r="AJ132">
            <v>0</v>
          </cell>
          <cell r="AK132">
            <v>0</v>
          </cell>
          <cell r="AL132"/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0.10000072072591513</v>
          </cell>
          <cell r="AR132">
            <v>0</v>
          </cell>
          <cell r="AS132">
            <v>0</v>
          </cell>
          <cell r="AT132">
            <v>0</v>
          </cell>
          <cell r="AU132">
            <v>9.9999939972663557E-2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V132">
            <v>0</v>
          </cell>
          <cell r="BW132">
            <v>0</v>
          </cell>
          <cell r="BX132">
            <v>0.16815931645016752</v>
          </cell>
          <cell r="BY132">
            <v>0</v>
          </cell>
          <cell r="BZ132">
            <v>0</v>
          </cell>
          <cell r="CA132">
            <v>0</v>
          </cell>
          <cell r="CB132">
            <v>0</v>
          </cell>
          <cell r="CC132">
            <v>0</v>
          </cell>
        </row>
        <row r="133">
          <cell r="A133">
            <v>2911</v>
          </cell>
          <cell r="B133" t="str">
            <v>Eurimages</v>
          </cell>
          <cell r="C133">
            <v>137375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19549</v>
          </cell>
          <cell r="AR133"/>
          <cell r="AS133"/>
          <cell r="AT133"/>
          <cell r="AU133">
            <v>85384</v>
          </cell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>
            <v>32442</v>
          </cell>
          <cell r="BY133"/>
          <cell r="BZ133"/>
          <cell r="CA133"/>
          <cell r="CB133"/>
          <cell r="CC133"/>
        </row>
        <row r="134">
          <cell r="A134">
            <v>2912</v>
          </cell>
          <cell r="B134" t="str">
            <v>MEDIA/Creative Europe</v>
          </cell>
          <cell r="C134">
            <v>0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  <cell r="BZ134"/>
          <cell r="CA134"/>
          <cell r="CB134"/>
          <cell r="CC134"/>
        </row>
        <row r="135">
          <cell r="A135">
            <v>2920</v>
          </cell>
          <cell r="B135" t="str">
            <v>National</v>
          </cell>
          <cell r="C135">
            <v>69657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>
            <v>48029</v>
          </cell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>
            <v>21628</v>
          </cell>
          <cell r="BY135"/>
          <cell r="BZ135"/>
          <cell r="CA135"/>
          <cell r="CB135"/>
          <cell r="CC135"/>
        </row>
        <row r="136">
          <cell r="A136">
            <v>2925</v>
          </cell>
          <cell r="B136" t="str">
            <v>Standortförderungen</v>
          </cell>
          <cell r="C136">
            <v>194481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>
            <v>194481</v>
          </cell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  <cell r="BZ136"/>
          <cell r="CA136"/>
          <cell r="CB136"/>
          <cell r="CC136"/>
        </row>
        <row r="137">
          <cell r="A137">
            <v>2930</v>
          </cell>
          <cell r="B137" t="str">
            <v>Regional</v>
          </cell>
          <cell r="C137">
            <v>0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  <cell r="BZ137"/>
          <cell r="CA137"/>
          <cell r="CB137"/>
          <cell r="CC137"/>
        </row>
        <row r="138">
          <cell r="A138">
            <v>2940</v>
          </cell>
          <cell r="B138" t="str">
            <v>Fernsehen</v>
          </cell>
          <cell r="C138">
            <v>379667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>
            <v>320190</v>
          </cell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>
            <v>59477</v>
          </cell>
          <cell r="BY138"/>
          <cell r="BZ138"/>
          <cell r="CA138"/>
          <cell r="CB138"/>
          <cell r="CC138"/>
        </row>
        <row r="139">
          <cell r="A139">
            <v>2950</v>
          </cell>
          <cell r="B139" t="str">
            <v>Nationale Auswertung</v>
          </cell>
          <cell r="C139">
            <v>10673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>
            <v>10673</v>
          </cell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  <cell r="BZ139"/>
          <cell r="CA139"/>
          <cell r="CB139"/>
          <cell r="CC139"/>
        </row>
        <row r="140">
          <cell r="A140">
            <v>2955</v>
          </cell>
          <cell r="B140" t="str">
            <v>World Sales</v>
          </cell>
          <cell r="C140">
            <v>81886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>
            <v>80048</v>
          </cell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>
            <v>1838</v>
          </cell>
          <cell r="BY140"/>
          <cell r="BZ140"/>
          <cell r="CA140"/>
          <cell r="CB140"/>
          <cell r="CC140"/>
        </row>
        <row r="141">
          <cell r="A141">
            <v>2960</v>
          </cell>
          <cell r="B141" t="str">
            <v>Andere Koproduzenten</v>
          </cell>
          <cell r="C141">
            <v>0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  <cell r="BZ141"/>
          <cell r="CA141"/>
          <cell r="CB141"/>
          <cell r="CC141"/>
        </row>
        <row r="142">
          <cell r="A142">
            <v>2970</v>
          </cell>
          <cell r="B142" t="str">
            <v>Eigenmittel ausländische/r Produzent/in</v>
          </cell>
          <cell r="C142">
            <v>336857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>
            <v>256457</v>
          </cell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>
            <v>53365</v>
          </cell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>
            <v>27035</v>
          </cell>
          <cell r="BY142"/>
          <cell r="BZ142"/>
          <cell r="CA142"/>
          <cell r="CB142"/>
          <cell r="CC142"/>
        </row>
        <row r="143">
          <cell r="A143">
            <v>2980</v>
          </cell>
          <cell r="B143" t="str">
            <v>Andere Partner</v>
          </cell>
          <cell r="C143">
            <v>179605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>
            <v>17507</v>
          </cell>
          <cell r="O143"/>
          <cell r="P143"/>
          <cell r="Q143"/>
          <cell r="R143"/>
          <cell r="S143"/>
          <cell r="T143">
            <v>130000</v>
          </cell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>
            <v>7134</v>
          </cell>
          <cell r="AR143"/>
          <cell r="AS143"/>
          <cell r="AT143"/>
          <cell r="AU143">
            <v>14150</v>
          </cell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>
            <v>10814</v>
          </cell>
          <cell r="BY143"/>
          <cell r="BZ143"/>
          <cell r="CA143"/>
          <cell r="CB143"/>
          <cell r="CC143"/>
        </row>
        <row r="144">
          <cell r="A144" t="str">
            <v>id3</v>
          </cell>
          <cell r="B144" t="str">
            <v>tit</v>
          </cell>
          <cell r="C144" t="str">
            <v>tot</v>
          </cell>
          <cell r="D144" t="str">
            <v>id1</v>
          </cell>
          <cell r="E144" t="str">
            <v>id2</v>
          </cell>
          <cell r="F144" t="str">
            <v>id7</v>
          </cell>
          <cell r="G144" t="str">
            <v>id4</v>
          </cell>
          <cell r="H144" t="str">
            <v>id5</v>
          </cell>
          <cell r="I144"/>
          <cell r="J144"/>
          <cell r="K144" t="str">
            <v>id8</v>
          </cell>
          <cell r="L144" t="str">
            <v>id9</v>
          </cell>
          <cell r="M144" t="str">
            <v>id10</v>
          </cell>
          <cell r="N144" t="str">
            <v>id11</v>
          </cell>
          <cell r="O144" t="str">
            <v>id12</v>
          </cell>
          <cell r="P144"/>
          <cell r="Q144"/>
          <cell r="R144"/>
          <cell r="S144"/>
          <cell r="T144"/>
          <cell r="U144"/>
          <cell r="V144"/>
          <cell r="W144"/>
          <cell r="X144" t="str">
            <v>id8</v>
          </cell>
          <cell r="Y144"/>
          <cell r="Z144" t="str">
            <v>id23</v>
          </cell>
          <cell r="AA144" t="str">
            <v>id24</v>
          </cell>
          <cell r="AB144" t="str">
            <v>id25</v>
          </cell>
          <cell r="AC144"/>
          <cell r="AD144"/>
          <cell r="AE144"/>
          <cell r="AF144"/>
          <cell r="AG144"/>
          <cell r="AH144"/>
          <cell r="AI144" t="str">
            <v>id32</v>
          </cell>
          <cell r="AJ144" t="str">
            <v>id33</v>
          </cell>
          <cell r="AK144"/>
          <cell r="AL144" t="str">
            <v>id35</v>
          </cell>
          <cell r="AM144" t="str">
            <v>id36</v>
          </cell>
          <cell r="AN144" t="str">
            <v>id37</v>
          </cell>
          <cell r="AO144" t="str">
            <v>id38</v>
          </cell>
          <cell r="AP144" t="str">
            <v>id39</v>
          </cell>
          <cell r="AQ144"/>
          <cell r="AR144" t="str">
            <v>id41</v>
          </cell>
          <cell r="AS144" t="str">
            <v>id42</v>
          </cell>
          <cell r="AT144"/>
          <cell r="AU144"/>
          <cell r="AV144" t="str">
            <v>id45</v>
          </cell>
          <cell r="AW144" t="str">
            <v>id46</v>
          </cell>
          <cell r="AX144" t="str">
            <v>id47</v>
          </cell>
          <cell r="AY144"/>
          <cell r="AZ144"/>
          <cell r="BA144"/>
          <cell r="BB144" t="str">
            <v>id51</v>
          </cell>
          <cell r="BC144" t="str">
            <v>id52</v>
          </cell>
          <cell r="BD144" t="str">
            <v>id53</v>
          </cell>
          <cell r="BE144" t="str">
            <v>id54</v>
          </cell>
          <cell r="BF144" t="str">
            <v>id7</v>
          </cell>
          <cell r="BG144"/>
          <cell r="BH144"/>
          <cell r="BI144"/>
          <cell r="BJ144"/>
          <cell r="BK144"/>
          <cell r="BL144"/>
          <cell r="BM144" t="str">
            <v>id62</v>
          </cell>
          <cell r="BN144" t="str">
            <v>id63</v>
          </cell>
          <cell r="BO144"/>
          <cell r="BP144"/>
          <cell r="BQ144"/>
          <cell r="BR144"/>
          <cell r="BS144" t="str">
            <v>id7</v>
          </cell>
          <cell r="BT144" t="str">
            <v>id69</v>
          </cell>
          <cell r="BU144"/>
          <cell r="BV144" t="str">
            <v>id71</v>
          </cell>
          <cell r="BW144" t="str">
            <v>id72</v>
          </cell>
          <cell r="BX144" t="str">
            <v>id73</v>
          </cell>
          <cell r="BY144"/>
          <cell r="BZ144" t="str">
            <v>id75</v>
          </cell>
          <cell r="CA144"/>
          <cell r="CB144"/>
          <cell r="CC144"/>
        </row>
        <row r="145">
          <cell r="A145" t="str">
            <v>k3</v>
          </cell>
          <cell r="B145" t="str">
            <v>Koproduktionsland 3</v>
          </cell>
          <cell r="C145"/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/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/>
          <cell r="AH145"/>
          <cell r="AI145">
            <v>0</v>
          </cell>
          <cell r="AJ145">
            <v>0</v>
          </cell>
          <cell r="AK145">
            <v>0</v>
          </cell>
          <cell r="AL145"/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 t="str">
            <v>DE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/>
          <cell r="BH145"/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/>
          <cell r="BP145">
            <v>0</v>
          </cell>
          <cell r="BQ145">
            <v>0</v>
          </cell>
          <cell r="BR145">
            <v>0</v>
          </cell>
          <cell r="BS145">
            <v>0</v>
          </cell>
          <cell r="BT145">
            <v>0</v>
          </cell>
          <cell r="BU145">
            <v>0</v>
          </cell>
          <cell r="BV145">
            <v>0</v>
          </cell>
          <cell r="BW145">
            <v>0</v>
          </cell>
          <cell r="BX145">
            <v>0</v>
          </cell>
          <cell r="BY145">
            <v>0</v>
          </cell>
          <cell r="BZ145">
            <v>0</v>
          </cell>
          <cell r="CA145">
            <v>0</v>
          </cell>
          <cell r="CB145">
            <v>0</v>
          </cell>
          <cell r="CC145">
            <v>0</v>
          </cell>
        </row>
        <row r="146">
          <cell r="A146" t="str">
            <v>bk3</v>
          </cell>
          <cell r="B146" t="str">
            <v>CHF</v>
          </cell>
          <cell r="C146">
            <v>499772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/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/>
          <cell r="AH146"/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499772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0</v>
          </cell>
          <cell r="BR146">
            <v>0</v>
          </cell>
          <cell r="BS146">
            <v>0</v>
          </cell>
          <cell r="BT146">
            <v>0</v>
          </cell>
          <cell r="BU146">
            <v>0</v>
          </cell>
          <cell r="BV146">
            <v>0</v>
          </cell>
          <cell r="BW146">
            <v>0</v>
          </cell>
          <cell r="BX146">
            <v>0</v>
          </cell>
          <cell r="BY146">
            <v>0</v>
          </cell>
          <cell r="BZ146">
            <v>0</v>
          </cell>
          <cell r="CA146">
            <v>0</v>
          </cell>
          <cell r="CB146">
            <v>0</v>
          </cell>
          <cell r="CC146">
            <v>0</v>
          </cell>
        </row>
        <row r="147">
          <cell r="A147"/>
          <cell r="B147" t="str">
            <v>%</v>
          </cell>
          <cell r="C147">
            <v>5.5662992684762398E-3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/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/>
          <cell r="AH147"/>
          <cell r="AI147">
            <v>0</v>
          </cell>
          <cell r="AJ147">
            <v>0</v>
          </cell>
          <cell r="AK147">
            <v>0</v>
          </cell>
          <cell r="AL147"/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9.9999939972663557E-2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</row>
        <row r="148">
          <cell r="A148">
            <v>3911</v>
          </cell>
          <cell r="B148" t="str">
            <v>Eurimages</v>
          </cell>
          <cell r="C148">
            <v>213460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>
            <v>213460</v>
          </cell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  <cell r="BZ148"/>
          <cell r="CA148"/>
          <cell r="CB148"/>
          <cell r="CC148"/>
        </row>
        <row r="149">
          <cell r="A149">
            <v>3912</v>
          </cell>
          <cell r="B149" t="str">
            <v>MEDIA/Creative Europe</v>
          </cell>
          <cell r="C149">
            <v>0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  <cell r="BZ149"/>
          <cell r="CA149"/>
          <cell r="CB149"/>
          <cell r="CC149"/>
        </row>
        <row r="150">
          <cell r="A150">
            <v>3920</v>
          </cell>
          <cell r="B150" t="str">
            <v>National</v>
          </cell>
          <cell r="C150">
            <v>160095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>
            <v>160095</v>
          </cell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  <cell r="BZ150"/>
          <cell r="CA150"/>
          <cell r="CB150"/>
          <cell r="CC150"/>
        </row>
        <row r="151">
          <cell r="A151">
            <v>3925</v>
          </cell>
          <cell r="B151" t="str">
            <v>Standortförderungen</v>
          </cell>
          <cell r="C151">
            <v>0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  <cell r="BZ151"/>
          <cell r="CA151"/>
          <cell r="CB151"/>
          <cell r="CC151"/>
        </row>
        <row r="152">
          <cell r="A152">
            <v>3930</v>
          </cell>
          <cell r="B152" t="str">
            <v>Regional</v>
          </cell>
          <cell r="C152">
            <v>0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  <cell r="BZ152"/>
          <cell r="CA152"/>
          <cell r="CB152"/>
          <cell r="CC152"/>
        </row>
        <row r="153">
          <cell r="A153">
            <v>3940</v>
          </cell>
          <cell r="B153" t="str">
            <v>Fernsehen</v>
          </cell>
          <cell r="C153">
            <v>0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  <cell r="BZ153"/>
          <cell r="CA153"/>
          <cell r="CB153"/>
          <cell r="CC153"/>
        </row>
        <row r="154">
          <cell r="A154">
            <v>3950</v>
          </cell>
          <cell r="B154" t="str">
            <v>Nationale Auswertung</v>
          </cell>
          <cell r="C154">
            <v>0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  <cell r="BZ154"/>
          <cell r="CA154"/>
          <cell r="CB154"/>
          <cell r="CC154"/>
        </row>
        <row r="155">
          <cell r="A155">
            <v>3955</v>
          </cell>
          <cell r="B155" t="str">
            <v>World Sales</v>
          </cell>
          <cell r="C155">
            <v>106730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>
            <v>106730</v>
          </cell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  <cell r="BZ155"/>
          <cell r="CA155"/>
          <cell r="CB155"/>
          <cell r="CC155"/>
        </row>
        <row r="156">
          <cell r="A156">
            <v>3960</v>
          </cell>
          <cell r="B156" t="str">
            <v>Andere Koproduzenten</v>
          </cell>
          <cell r="C156">
            <v>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  <cell r="BZ156"/>
          <cell r="CA156"/>
          <cell r="CB156"/>
          <cell r="CC156"/>
        </row>
        <row r="157">
          <cell r="A157">
            <v>3970</v>
          </cell>
          <cell r="B157" t="str">
            <v>Eigenmittel ausländische/r Produzent/in</v>
          </cell>
          <cell r="C157">
            <v>0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  <cell r="BZ157"/>
          <cell r="CA157"/>
          <cell r="CB157"/>
          <cell r="CC157"/>
        </row>
        <row r="158">
          <cell r="A158">
            <v>3980</v>
          </cell>
          <cell r="B158" t="str">
            <v>Andere Partner</v>
          </cell>
          <cell r="C158">
            <v>19487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>
            <v>19487</v>
          </cell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  <cell r="BZ158"/>
          <cell r="CA158"/>
          <cell r="CB158"/>
          <cell r="CC158"/>
        </row>
        <row r="159">
          <cell r="C159"/>
          <cell r="F159" t="str">
            <v>id7</v>
          </cell>
          <cell r="BF159" t="str">
            <v>id7</v>
          </cell>
          <cell r="BG159"/>
          <cell r="BH159"/>
          <cell r="BO159"/>
          <cell r="BS159" t="str">
            <v>id7</v>
          </cell>
        </row>
        <row r="160">
          <cell r="A160" t="str">
            <v>k4</v>
          </cell>
          <cell r="B160" t="str">
            <v>Alle Koproduktionsländer</v>
          </cell>
          <cell r="C160"/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  <cell r="BZ160"/>
          <cell r="CA160"/>
          <cell r="CB160"/>
          <cell r="CC160"/>
        </row>
        <row r="161">
          <cell r="A161" t="str">
            <v>bk4</v>
          </cell>
          <cell r="C161"/>
          <cell r="F161">
            <v>0</v>
          </cell>
          <cell r="BF161">
            <v>0</v>
          </cell>
          <cell r="BG161">
            <v>0</v>
          </cell>
          <cell r="BH161">
            <v>0</v>
          </cell>
          <cell r="BO161">
            <v>0</v>
          </cell>
          <cell r="BS161">
            <v>0</v>
          </cell>
        </row>
        <row r="162">
          <cell r="C162"/>
          <cell r="F162">
            <v>0</v>
          </cell>
          <cell r="BF162">
            <v>0</v>
          </cell>
          <cell r="BG162">
            <v>0</v>
          </cell>
          <cell r="BH162">
            <v>0</v>
          </cell>
          <cell r="BO162">
            <v>0</v>
          </cell>
          <cell r="BS162">
            <v>0</v>
          </cell>
        </row>
        <row r="163">
          <cell r="A163">
            <v>4911</v>
          </cell>
          <cell r="C163"/>
          <cell r="F163"/>
          <cell r="BF163"/>
          <cell r="BG163"/>
          <cell r="BH163"/>
          <cell r="BO163"/>
          <cell r="BS163"/>
        </row>
        <row r="164">
          <cell r="A164">
            <v>4912</v>
          </cell>
          <cell r="C164"/>
          <cell r="F164"/>
          <cell r="BF164"/>
          <cell r="BG164"/>
          <cell r="BH164"/>
          <cell r="BO164"/>
          <cell r="BS164"/>
        </row>
      </sheetData>
      <sheetData sheetId="1"/>
      <sheetData sheetId="2"/>
      <sheetData sheetId="3">
        <row r="1">
          <cell r="A1" t="str">
            <v>id::ok::suisa::title::genre::type::sex::upcoming::lang::kanton::yearprod::yearrelease::produktion::regie::budget::k::chbudget _x000D_
id48::::1011.956::Les voyages extraordinaires d'Ella Maillart::D::CH::M::nein::fr::GE::2017::2017::Artemis Film Productions::Raphaël Blanc::75000::0::75000 _x000D_
id28::::1012.062::Didi Contractor::D::CH::F::ja::de::BS::2017::2017::Individuofilm::Steffi Giaracuni ::99258::0::99258 _x000D_
id50::::1013.271::Ly-Ling &amp; Herr Urgesi (aka Die Designerin und der Schneider)::D::CH::M::ja::de::ZH::2017::2019::Giancarlo Moos Photography &amp; Film::Giancarlo Moos::125000::0::125000 _x000D_
id69::::nein::The Music of What Happens::D::CH::M::ja::de::BE::2017::::Ojalà-film borter::Beat Borter::139300::0::139300 _x000D_
id3::::1012.271::A Campaign On Their Own::D::CH::M::ja::fr::VD::2017::2017::Zooscope Production::Lionel Rupp::142066::0::142066 _x000D_
id5::::swissfilms::Alberto Nessi: fiori d'ombra::D::CH::F::ja::it::TI::2017::2018::Pic-Film SA::Elvira Dones::186631::0::186631 _x000D_
id63::::swissfilms::Rue Mayskaya::D::CH::M::ja::fr::GE::2017::2017::IDIP Films Sàrl::Gabriel Tejedor ::188473::0::188473 _x000D_
id22::::1012.609::Das Leben vor dem Tod (aka Mein Vater, sein Nachbar und ich)::D::CH::M::ja::de::BE::2017::2018::hiddenframe GmbH::Gregor Frei::197933::0::197933 _x000D_
id56::::nein::Nuit obscure::D::MIN::M::nein::fr::GE::2017::::Alinafilm Sàrl::Sylvain George::208605::0::73899 _x000D_
id67::::1012.435::Strangers::F::CH::M::ja::de::ZH::2017::2018::Bernard Lang AG Film- und Fernsehproduktion::Lorenz Suter::214891::0::214891 _x000D_
id36::::1011.786::I Am Truly a Drop of Sun on Earth::F::CH::F::ja::fr::GE::2017::2018::Alinafilm Sàrl::Elene Naveriani ::236677::0::236677 _x000D_
id64::::1012.978::Seuls ensemble (aka Mystery in Space)::D::CH::X::ja::fr::FR::2017::2019::P.S. Productions Sàrl::Thomas Wüthrich, Sonia Zoran::245170::0::245170 _x000D_
id65::::1012.627::Shadow Thieves::D::CH::M::nein::de::ZH::2017::2018::Riniker Communications GmbH::Felix von Muralt::251676::0::251678 _x000D_
id2::::1012.651::1999 (aka Wish You Were Here)::D::MIN::F::ja::fr::GE::2017::2018::Beauvoir Sàrl::Samara Grace Chadwick::269238::0::81447 _x000D_
id18::::1012.919::Closing Time::D::MAJ::F::ja::fr::GE::2017::2019::Beauvoir Sàrl::Nicole Vögele::294829::0::147415 _x000D_
id42::::1012.824::La séparation des traces::D::CH::M::nein::fr::FR::2017::2018::P.S. Productions Sàrl::Francis Reusser::298507::0::298507 _x000D_
id72::::swissfilms::Watch Over Me (aka Palliative Care)::D::MAJ::F::nein::de::ZH::2017::::Leafbird Films GmbH::Farida Pacha::335531::0::250155 _x000D_
id6::::swissfilms::A Stray Bullet::D::CH::M::nein::fr::GE::2017::2018::TIPI'MAGES PRODUCTIONS Sàrl::Jean-Cosme Delaloye::350397::0::350397 _x000D_
id30::::1013.207::Dr Tscharniblues 2.0::D::CH::M::ja::de::BE::2017::2019::Trinipix GmbH::Nick Aron Fabian::361393:::: _x000D_
id24::::nein::Der Krieg in uns::D::MIN::M::nein::de::ZH::2017::::Mira Film GmbH::Vadim Jendreyko::366460::0::90400 _x000D_
id43::::1013.710::Fiancées (aka Le contrat)::D::CH::F::ja::fr::GE::2017::2020::Intermezzo Films SA::Julia Bünter::397668::0::397668 _x000D_
id70::::1012.421::Transformance::D::CH::M::ja::de::ZH::2017::2018::cR Lichtspiele GmbH::Alan Smithee::450689::0::450689 _x000D_
id62::::1007.943::Romans d'adultes - Sur le chemin de l'indépendance::D::CH::F::nein::fr::GE::2017::2017::Troubadour Films::Béatrice Bakhti::462434::0::462434 _x000D_
id17::::1013.126::Chaco (aka Tierra del Mal)::D::MIN::F::ja::fr::GE::2017::2018::Elefant Films Sàrl::Fausta Quattrini::462500::0::189500 _x000D_
id41::::1013.397::La preuve scientificique de l'existence de Dieu::F::CH::M::nein::fr::GE::2017::2019::Freshprod::Frédéric Baillif::470890::0::470890 _x000D_
id27::::1016.224::Dida::D::CH::X::ja::de::ZH::2017::2022::Dschoint Ventschr Filmproduktion AG::Corina Schwingruber Illic, Nikola Ilic::482701::0::482701 _x000D_
id10::::1012.256::Avant la fin de l'été::D::MAJ::F::ja::fr::GE::2017::2017::Intermezzo Films SA::Maryam Goormaghtigh::496800::0::248400 _x000D_
id13::::nein::Bratsch::D::CH::M::nein::de::BE::2017::::Biograph Film::Norbert Wiedmer::518892::0::518892 _x000D_
id58::::1012.881::Out of Paradise::F::CH::M::ja::de::ZH::2017::2018::Hesse Film GmbH::Batbayar Chogsom::521470::0::521470 _x000D_
id12::::1012.815::Becoming Animal::D::MAJ::M::nein::de::ZH::2017::2018::Maximage::Peter Mettler::531632::0::340694 _x000D_
id77::::1013.839::Volunteer (aka Zurück aus Idomeni)::D::CH::F::ja::de::BS::2017::2020::Sulaco Film GmbH::Anna Thommen::551319::0::551319 _x000D_
id8::::1012.582::Apfel und Vulkan::D::CH::F::ja::de::BS::2017::2018::Freihändler Filmproduktion GmbH::Nathalie Oestreicher::557669::0::557669 _x000D_
id33::::1012.995::Free Men::D::CH::F::ja::fr::GE::2017::2019::Intermezzo Films SA::Anne-Frédérique Widmann ::579658::0::579658 _x000D_
id39::::1013.133::L'Apollon de Gaza (aka A la recherche d'Apollon)::D::MIN::M::nein::fr::GE::2017::2019::AKKA Films Sàrl::Nicolas Wadimoff::584468::0::277969 _x000D_
id76::::1012.833::Zürcher Tagebuch::D::CH::M::nein::de::ZH::2017::2020::Fontana Film GmbH::Stefan Haupt::584680::0::584680 _x000D_
id52::::swissfilms::Master of Disaster::D::MIN::M::nein::de::ZH::2017::2019::Mira Film GmbH::Jürgen Brügger, Jörg Haassengier::585561::0::160449 _x000D_
id53::::1013.597::Miriam Goldschmidt – Erfinderin von Dazwischen (aka Der Tod und das Mädchen)::D::MAJ::M::ja::de::ZH::2017::2019::Cineworx Filmproduktion GmbH::Janos Tedeschi, Christof Schäfer::613811::0::531689 _x000D_
id38::::1012.959::Insulaire::D::CH::M::nein::fr::VD::2017::2019::Climage::Stéphane Goël::634156::0::634156 _x000D_
id31::::1013.007::Fair Traders (aka Touch the Future)::D::CH::M::nein::de::ZH::2017::2019::RECK Filmproduktion GmbH::Nino Jacusso::681924::0::681924 _x000D_
id35::::1012.277::Gotthard::D::CH::M::nein::it::TI::2017::2017::Amka Films Productions SA::Kevin Merz::687312::0::687348 _x000D_
id54::::swissfilms::Moka noir - A Omegna non si beve più il caffè::D::CH::M::nein::it::TI::2017::2019::Ventura Film SA::Erik Bernasconi::688472::0::688472 _x000D_
id49::::1012.328::Level Up Your Life::F::MAJ::M::nein::de::ZH::2017::2018::Motorfilm GmbH::Oliver Paulus, Stefan Hillebrand::707793::0::373988 _x000D_
id19::::1013.585::Contradict::D::CH::M::nein::de::BE::2017::2020::Recycled TV AG::Madeleine Corbat::710042::0::710042 _x000D_
id34::::1012.137::Frontaliers Disaster::F::CH::M::nein::it::TI::2017::2017::Inmagine SA::Alberto Meroni::717984::0::717984 _x000D_
id60::::1013.083::Passion::D::CH::M::nein::de::ZH::2017::2019::Kosmos Film GmbH::Christian Labhart ::720124::0::720124 _x000D_
id59::::1015.314::Parallel Lives::D::CH::M::nein::de::BE::2017::2022::Recycled TV AG::Frank Matter::756034::0::756034 _x000D_
id55::::1014.638::Nemesis (aka A House is Built)::D::CH::M::nein::de::ZH::2017::2021::Okofilm Productions GmbH::Thomas Imbach::794490::0::794490 _x000D_
id9::::1012.898::Architektur der Unendlichkeit::D::CH::M::nein::de::ZH::2017::2019::Maximage::Christoph Schaub::798019::0::798019 _x000D_
id29::::nein::Die Getriebenen::D::CH::M::ja::de::ZH::2017::::Catpics AG::Piet Baumgartner::824813::0::824813 _x000D_
id47::::1013.012::Les âmes mortes (aka Past in the Present aka Dead Souls)::D::MIN::M::nein::fr::GE::2017::2019::Adokfilms sàrl::Bing Wang::833366::0::102250 _x000D_
id68::::nein::Suche nach Europa::D::CH::M::nein::de::ZH::2017::::Mira Film GmbH::Vadim Jendreyko::846575::0::846545 _x000D_
id21::::1012.370::Blue Note Records: Beyond the Notes (aka Das Blue Note Projekt)::D::CH::F::ja::de::ZH::2017::2018::Mira Film GmbH::Sophie Huber::882228::0::882228 _x000D_
id7::::1012.880::Gateways to New York (aka Ammann, Poesie in Stahl)::D::CH::M::nein::de::TI::2017::2019::Ventura Film SA::Martin Witz::889687::0::889687 _x000D_
id4::::1012.658::A l'école des philosophes::D::CH::M::nein::fr::VD::2017::2018::Le Dzé::Fernand Melgar::892388::0::892388 _x000D_
id73::::112.790::Wo bist Du, Joao Gilberto?::D::MAJ::M::nein::de::ZH::2017::2018::Gachot Films::Georges Gachot::911243::0::527129 _x000D_
id1::::1012.739::#Female Pleasure (The Female Touch)::D::MAJ::F::nein::de::ZH::2017::2018::Mons Veneris Films GmbH::Barbara Miller::1076090::0::853376 _x000D_
id45::::1012.283::Le vénérable W::D::MIN::M::nein::fr::VD::2017::2017::Bande à part Films Sàrl::Barbet Schroeder::1079143::0::209000 _x000D_
id40::::1012.894::L'ospite::F::MIN::M::nein::it::TI::2017::2018::Cinédokké Sagl::Duccio Chiarini::1387490::0::360748 _x000D_
id75::::1012.913::Zone Rouge::F::CH::M::nein::de::ZH::2017::2018::ABRAKADABRA FILMS AG::Cihan Inan::1401535::0::1401535 _x000D_
id23::::1011.506::Der Frosch::F::CH::M::nein::de::ZH::2017::2017::Bernard Lang AG Film- und Fernsehproduktion::Jann Preuss::1478942::0::1478942 _x000D_
id57::::1013.584::O fim do mundo::F::CH::M::ja::fr::VD::2017::2020::Thera Production Sàrl::Basil da Cunha::1511315::0::1511315 _x000D_
id15::::nein::Cavale::F::MIN::F::nein::fr::GE::2017::::POINT PROD' SA::Virginie Gourmel::1637674::0::326031 _x000D_
id37::::1013.306::Insoumise::F::CH::X::ja::fr::GE::2017::2019::Bohemian Films::Fernando Peretz, Laura Cazador::1685796::0::1685796 _x000D_
id32::::1012.812::Familienpraxis::F::CH::M::ja::de::ZH::2017::2019::Tilt Production GmbH::Jeshua Dreyfus::1687509::0::1687509 _x000D_
id20::::1012.965::Cronofobia::F::CH::M::ja::it::TI::2017::2019::Imago Film SA::Francesco Rizzi::1726316::0::1726316 _x000D_
id71::::swissfilms::Une urgence ordinaiure (aka Une affaire urgente)::F::CH::M::nein::fr::VD::2017::2018::Louise Productions Lausanne::Mohcine Besri::2157122::0::1754939 _x000D_
id26::::1013.028::My Little One (aka Désert)::F::MAJ::X::nein::fr::GE::2017::2019::Intermezzo Films SA::Frédéric Choffat, Julie Gilbert::2200444::0::1982444 _x000D_
id61::::1012.946::Pearl ::F::MIN::F::ja::fr::VD::2017::2019::Bande à part Films Sàrl::Elsa Amiel::2626133::0::972057 _x000D_
id66::::1014.337::Soul of a Beast (aka Beast)::F::CH::M::ja::de::ZH::2017::2021::Hesse Film GmbH::Lorenz Merz::2773296::0::2773297 _x000D_
id16::::1012.839::Ceux qui travaillent::F::MAJ::M::ja::fr::VD::2017::2018::Box Productions Sàrl::Antoine Russbach::2812773::0::2392968 _x000D_
id25::::1011.998::Der Unschuldige::F::MAJ::M::ja::de::ZH::2017::2018::8horses GmbH::Simon Jaquemet::2843509::0::2195528 _x000D_
id51::::1011.921::Mario::F::CH::M::nein::de::ZH::2017::2018::Triluna Film AG::Marcel Gisler::3473010::0::3473010 _x000D_
id74::::1012.518::Wolkenbruch::F::MAJ::M::nein::de::ZH::2017::2018::Turnus Film AG::Michael Steiner::3857746::0::3414318 _x000D_
id11::::1013.373::Baghdad In My Shadow::F::MAJ::M::nein::de::ZH::2017::2019::Dschoint Ventschr Filmproduktion AG::Samir::4521289::0::2996477 _x000D_
id46::::1012.827::Le vent tourne::F::MAJ::F::nein::fr::GE::2017::2018::Rita Productions::Bettina Oberli::4783224::0::3624701 _x000D_
id14::::1012.813::Bruno Manser - die Stimme des Regenwaldes (aka Paradise War)::F::MAJ::M::nein::de::ZH::2017::2019::A Film Company GmbH::Niklaus Hilber::4993416::0::4393416 _x000D_
id44::::1012.738::Lazzaro Felice::F::MIN::F::nein::it::TI::2017::2018::Amka Films Productions SA::Alice Rohrwacher::4997723::0::499774 _x000D_
id78::::1011.972::Zwingli::F::MAJ::M::nein::de::ZH::2017::2019::C-FILMS AG::Stefan Haupt::5657305::0::4597344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èsListe"/>
      <sheetName val="BoxOffice"/>
      <sheetName val="Festival"/>
    </sheetNames>
    <sheetDataSet>
      <sheetData sheetId="0">
        <row r="3">
          <cell r="A3" t="str">
            <v>id</v>
          </cell>
          <cell r="B3" t="str">
            <v>tit</v>
          </cell>
          <cell r="C3" t="str">
            <v>tot</v>
          </cell>
          <cell r="D3" t="str">
            <v>id1</v>
          </cell>
          <cell r="E3" t="str">
            <v>id2</v>
          </cell>
          <cell r="F3" t="str">
            <v>id3</v>
          </cell>
          <cell r="G3" t="str">
            <v>id4</v>
          </cell>
          <cell r="H3" t="str">
            <v>id5</v>
          </cell>
          <cell r="I3" t="str">
            <v>id6</v>
          </cell>
          <cell r="J3" t="str">
            <v>id7</v>
          </cell>
          <cell r="K3" t="str">
            <v>id8</v>
          </cell>
          <cell r="L3" t="str">
            <v>id9</v>
          </cell>
          <cell r="M3" t="str">
            <v>id10</v>
          </cell>
          <cell r="N3" t="str">
            <v>id11</v>
          </cell>
          <cell r="O3" t="str">
            <v>id12</v>
          </cell>
          <cell r="P3" t="str">
            <v>id13</v>
          </cell>
          <cell r="Q3" t="str">
            <v>id14</v>
          </cell>
          <cell r="R3" t="str">
            <v>id15</v>
          </cell>
          <cell r="S3" t="str">
            <v>id16</v>
          </cell>
          <cell r="T3" t="str">
            <v>id17</v>
          </cell>
          <cell r="U3" t="str">
            <v>id18</v>
          </cell>
          <cell r="V3" t="str">
            <v>id19</v>
          </cell>
          <cell r="W3" t="str">
            <v>id20</v>
          </cell>
          <cell r="X3" t="str">
            <v>id21</v>
          </cell>
          <cell r="Y3" t="str">
            <v>id22</v>
          </cell>
          <cell r="Z3" t="str">
            <v>id23</v>
          </cell>
          <cell r="AA3" t="str">
            <v>id24</v>
          </cell>
          <cell r="AB3" t="str">
            <v>id25</v>
          </cell>
          <cell r="AC3" t="str">
            <v>id26</v>
          </cell>
          <cell r="AD3" t="str">
            <v>id27</v>
          </cell>
          <cell r="AE3" t="str">
            <v>id28</v>
          </cell>
          <cell r="AF3" t="str">
            <v>id29</v>
          </cell>
          <cell r="AG3" t="str">
            <v>id30</v>
          </cell>
          <cell r="AH3" t="str">
            <v>id31</v>
          </cell>
          <cell r="AI3" t="str">
            <v>id32</v>
          </cell>
          <cell r="AJ3" t="str">
            <v>id33</v>
          </cell>
          <cell r="AK3" t="str">
            <v>id34</v>
          </cell>
          <cell r="AL3" t="str">
            <v>id35</v>
          </cell>
          <cell r="AM3" t="str">
            <v>id36</v>
          </cell>
          <cell r="AN3" t="str">
            <v>id37</v>
          </cell>
          <cell r="AO3" t="str">
            <v>id38</v>
          </cell>
          <cell r="AP3" t="str">
            <v>id39</v>
          </cell>
          <cell r="AQ3" t="str">
            <v>id40</v>
          </cell>
          <cell r="AR3" t="str">
            <v>id41</v>
          </cell>
          <cell r="AS3" t="str">
            <v>id42</v>
          </cell>
          <cell r="AT3" t="str">
            <v>id43</v>
          </cell>
          <cell r="AU3" t="str">
            <v>id44</v>
          </cell>
          <cell r="AV3" t="str">
            <v>id45</v>
          </cell>
          <cell r="AW3" t="str">
            <v>id46</v>
          </cell>
          <cell r="AX3" t="str">
            <v>id47</v>
          </cell>
          <cell r="AY3" t="str">
            <v>id48</v>
          </cell>
          <cell r="AZ3" t="str">
            <v>id49</v>
          </cell>
          <cell r="BA3" t="str">
            <v>id50</v>
          </cell>
          <cell r="BB3" t="str">
            <v>id51</v>
          </cell>
          <cell r="BC3" t="str">
            <v>id52</v>
          </cell>
          <cell r="BD3" t="str">
            <v>id53</v>
          </cell>
          <cell r="BE3" t="str">
            <v>id54</v>
          </cell>
          <cell r="BF3" t="str">
            <v>id55</v>
          </cell>
          <cell r="BG3" t="str">
            <v>id56</v>
          </cell>
          <cell r="BH3" t="str">
            <v>id57</v>
          </cell>
          <cell r="BI3" t="str">
            <v>id58</v>
          </cell>
          <cell r="BJ3" t="str">
            <v>id59</v>
          </cell>
          <cell r="BK3" t="str">
            <v>id60</v>
          </cell>
          <cell r="BL3" t="str">
            <v>id61</v>
          </cell>
          <cell r="BM3" t="str">
            <v>id62</v>
          </cell>
          <cell r="BN3" t="str">
            <v>id63</v>
          </cell>
          <cell r="BO3" t="str">
            <v>id64</v>
          </cell>
          <cell r="BP3" t="str">
            <v>id65</v>
          </cell>
          <cell r="BQ3" t="str">
            <v>id66</v>
          </cell>
          <cell r="BR3" t="str">
            <v>id67</v>
          </cell>
          <cell r="BS3" t="str">
            <v>id68</v>
          </cell>
          <cell r="BT3" t="str">
            <v>id69</v>
          </cell>
          <cell r="BU3" t="str">
            <v>id70</v>
          </cell>
          <cell r="BV3" t="str">
            <v>id71</v>
          </cell>
          <cell r="BW3" t="str">
            <v>id72</v>
          </cell>
          <cell r="BX3" t="str">
            <v>id73</v>
          </cell>
          <cell r="BY3" t="str">
            <v>id74</v>
          </cell>
          <cell r="BZ3" t="str">
            <v>id75</v>
          </cell>
          <cell r="CA3" t="str">
            <v>id76</v>
          </cell>
          <cell r="CB3" t="str">
            <v>id77</v>
          </cell>
          <cell r="CC3" t="str">
            <v>id78</v>
          </cell>
        </row>
        <row r="4">
          <cell r="A4" t="str">
            <v>ok</v>
          </cell>
          <cell r="B4"/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  <cell r="BN4"/>
          <cell r="BO4"/>
          <cell r="BP4"/>
          <cell r="BQ4"/>
          <cell r="BR4"/>
          <cell r="BS4"/>
          <cell r="BT4"/>
          <cell r="BU4"/>
          <cell r="BV4"/>
          <cell r="BW4"/>
          <cell r="BX4"/>
          <cell r="BY4"/>
          <cell r="BZ4"/>
          <cell r="CA4"/>
          <cell r="CB4"/>
          <cell r="CC4"/>
        </row>
        <row r="5">
          <cell r="A5" t="str">
            <v>suisa</v>
          </cell>
          <cell r="B5"/>
          <cell r="C5"/>
          <cell r="D5" t="str">
            <v>1011.592</v>
          </cell>
          <cell r="E5" t="str">
            <v>1010.740</v>
          </cell>
          <cell r="F5" t="str">
            <v>1009.256</v>
          </cell>
          <cell r="G5" t="str">
            <v>1010.091</v>
          </cell>
          <cell r="H5" t="str">
            <v>1011.235</v>
          </cell>
          <cell r="I5" t="str">
            <v>1010.988</v>
          </cell>
          <cell r="J5" t="str">
            <v>1009.242</v>
          </cell>
          <cell r="K5">
            <v>1009.929</v>
          </cell>
          <cell r="L5" t="str">
            <v>1009.367</v>
          </cell>
          <cell r="M5" t="str">
            <v>1010.308</v>
          </cell>
          <cell r="N5" t="str">
            <v>1010.317</v>
          </cell>
          <cell r="O5">
            <v>1011.755</v>
          </cell>
          <cell r="P5">
            <v>1010.583</v>
          </cell>
          <cell r="Q5" t="str">
            <v>1010.499</v>
          </cell>
          <cell r="R5" t="str">
            <v>1010.226</v>
          </cell>
          <cell r="S5" t="str">
            <v>1010.536</v>
          </cell>
          <cell r="T5" t="str">
            <v>1010.539</v>
          </cell>
          <cell r="U5">
            <v>1012.278</v>
          </cell>
          <cell r="V5" t="str">
            <v>1010.703</v>
          </cell>
          <cell r="W5" t="str">
            <v>1009.727</v>
          </cell>
          <cell r="X5">
            <v>1010.021</v>
          </cell>
          <cell r="Y5" t="str">
            <v>1009.717</v>
          </cell>
          <cell r="Z5" t="str">
            <v>1011.399</v>
          </cell>
          <cell r="AA5" t="str">
            <v>1010.866</v>
          </cell>
          <cell r="AB5" t="str">
            <v>1010.367</v>
          </cell>
          <cell r="AC5" t="str">
            <v>1010.478</v>
          </cell>
          <cell r="AD5">
            <v>1010.606</v>
          </cell>
          <cell r="AE5" t="str">
            <v>swissfilms</v>
          </cell>
          <cell r="AF5" t="str">
            <v>1009.702</v>
          </cell>
          <cell r="AG5" t="str">
            <v>1010.732</v>
          </cell>
          <cell r="AH5" t="str">
            <v>1010.273</v>
          </cell>
          <cell r="AI5" t="str">
            <v>1011.236</v>
          </cell>
          <cell r="AJ5" t="str">
            <v>1011.064</v>
          </cell>
          <cell r="AK5">
            <v>1012.174</v>
          </cell>
          <cell r="AL5" t="str">
            <v>1009.786</v>
          </cell>
          <cell r="AM5" t="str">
            <v>1010.973</v>
          </cell>
          <cell r="AN5" t="str">
            <v>nein</v>
          </cell>
          <cell r="AO5" t="str">
            <v>1010.538</v>
          </cell>
          <cell r="AP5" t="str">
            <v>1010.741</v>
          </cell>
          <cell r="AQ5">
            <v>1012.721</v>
          </cell>
          <cell r="AR5" t="str">
            <v>1010.972</v>
          </cell>
          <cell r="AS5" t="str">
            <v>1010.003</v>
          </cell>
          <cell r="AT5" t="str">
            <v>1009.860</v>
          </cell>
          <cell r="AU5" t="str">
            <v>1010.547</v>
          </cell>
          <cell r="AV5" t="str">
            <v>1010.072</v>
          </cell>
          <cell r="AW5" t="str">
            <v>1011.052</v>
          </cell>
          <cell r="AX5" t="str">
            <v>swissfilms</v>
          </cell>
          <cell r="AY5" t="str">
            <v>1009.841</v>
          </cell>
          <cell r="AZ5" t="str">
            <v>1010.457</v>
          </cell>
          <cell r="BA5">
            <v>1011.522</v>
          </cell>
          <cell r="BB5" t="str">
            <v>1009.714</v>
          </cell>
          <cell r="BC5" t="str">
            <v>1010.699</v>
          </cell>
          <cell r="BD5" t="str">
            <v>1010.229</v>
          </cell>
          <cell r="BE5" t="str">
            <v>1010.320</v>
          </cell>
          <cell r="BF5" t="str">
            <v>1010.632</v>
          </cell>
          <cell r="BG5" t="str">
            <v>swissfilms</v>
          </cell>
          <cell r="BH5" t="str">
            <v>swissfilms</v>
          </cell>
          <cell r="BI5" t="str">
            <v>1010.129</v>
          </cell>
          <cell r="BJ5" t="str">
            <v>1009.968</v>
          </cell>
          <cell r="BK5" t="str">
            <v>1009.099</v>
          </cell>
          <cell r="BL5">
            <v>1010.0839999999999</v>
          </cell>
          <cell r="BM5" t="str">
            <v>swissfilms</v>
          </cell>
          <cell r="BN5" t="str">
            <v>1010.227</v>
          </cell>
          <cell r="BO5">
            <v>1011.133</v>
          </cell>
          <cell r="BP5">
            <v>1010.112</v>
          </cell>
          <cell r="BQ5">
            <v>1013.602</v>
          </cell>
          <cell r="BR5" t="str">
            <v>swissfilms</v>
          </cell>
          <cell r="BS5" t="str">
            <v>swissfilms</v>
          </cell>
          <cell r="BT5" t="str">
            <v>swissfilms</v>
          </cell>
          <cell r="BU5">
            <v>1011.832</v>
          </cell>
          <cell r="BV5">
            <v>1009.746</v>
          </cell>
          <cell r="BW5" t="str">
            <v>swissfilms</v>
          </cell>
          <cell r="BX5" t="str">
            <v>1010.981</v>
          </cell>
          <cell r="BY5" t="str">
            <v>1010.455</v>
          </cell>
          <cell r="BZ5" t="str">
            <v>1009.759</v>
          </cell>
          <cell r="CA5" t="str">
            <v>1010.461</v>
          </cell>
          <cell r="CB5" t="str">
            <v>1011.139</v>
          </cell>
          <cell r="CC5" t="str">
            <v>1009.701</v>
          </cell>
        </row>
        <row r="6">
          <cell r="A6" t="str">
            <v>title</v>
          </cell>
          <cell r="B6" t="str">
            <v>Titel</v>
          </cell>
          <cell r="C6" t="str">
            <v>TOTAL</v>
          </cell>
          <cell r="D6" t="str">
            <v>7 days</v>
          </cell>
          <cell r="E6" t="str">
            <v>Above &amp; Below</v>
          </cell>
          <cell r="F6" t="str">
            <v>Achtung, Fertig WK</v>
          </cell>
          <cell r="G6" t="str">
            <v>Alfonsina Storni</v>
          </cell>
          <cell r="H6" t="str">
            <v>Aloys</v>
          </cell>
          <cell r="I6" t="str">
            <v>Als die Sonne vom Himmel fiel</v>
          </cell>
          <cell r="J6" t="str">
            <v>Am Hang</v>
          </cell>
          <cell r="K6" t="str">
            <v>Berge im Kopf</v>
          </cell>
          <cell r="L6" t="str">
            <v>Botiza</v>
          </cell>
          <cell r="M6" t="str">
            <v>Bouboule</v>
          </cell>
          <cell r="N6" t="str">
            <v>Broken Land</v>
          </cell>
          <cell r="O6" t="str">
            <v>Calabria (aka En chair et en os)</v>
          </cell>
          <cell r="P6" t="str">
            <v>Cherry Pie</v>
          </cell>
          <cell r="Q6" t="str">
            <v>Chrieg</v>
          </cell>
          <cell r="R6" t="str">
            <v>Clouds Of Sils Maria</v>
          </cell>
          <cell r="S6" t="str">
            <v>ConFuSion</v>
          </cell>
          <cell r="T6" t="str">
            <v>Danioth - Der Teufelsmaler</v>
          </cell>
          <cell r="U6" t="str">
            <v>Dark Star - Gigers Welt</v>
          </cell>
          <cell r="V6" t="str">
            <v>Das dunkle Gen</v>
          </cell>
          <cell r="W6" t="str">
            <v>Der Goalie bin ig</v>
          </cell>
          <cell r="X6" t="str">
            <v>Der Koch</v>
          </cell>
          <cell r="Y6" t="str">
            <v>Der Kreis</v>
          </cell>
          <cell r="Z6" t="str">
            <v>Der Polder</v>
          </cell>
          <cell r="AA6" t="str">
            <v>Der Vampir auf der Couch</v>
          </cell>
          <cell r="AB6" t="str">
            <v>Deux jours avec mon père</v>
          </cell>
          <cell r="AC6" t="str">
            <v>Die Böhms - Architektur einer Familie</v>
          </cell>
          <cell r="AD6" t="str">
            <v>Die Demokratie ist los</v>
          </cell>
          <cell r="AE6" t="str">
            <v>Die innere Zone</v>
          </cell>
          <cell r="AF6" t="str">
            <v>Die Reise zum sichersten Ort der Erde</v>
          </cell>
          <cell r="AG6" t="str">
            <v>Dirty Gold War</v>
          </cell>
          <cell r="AH6" t="str">
            <v>Driften</v>
          </cell>
          <cell r="AI6" t="str">
            <v>Europe, She Loves</v>
          </cell>
          <cell r="AJ6" t="str">
            <v>Free to Run (aka Libre de courir)</v>
          </cell>
          <cell r="AK6" t="str">
            <v>Glow (aka Wild Dreams Song)</v>
          </cell>
          <cell r="AL6" t="str">
            <v>Glückspilze</v>
          </cell>
          <cell r="AM6" t="str">
            <v>Grozny Blues</v>
          </cell>
          <cell r="AN6" t="str">
            <v>Héritage</v>
          </cell>
          <cell r="AO6" t="str">
            <v>Homo Faber</v>
          </cell>
          <cell r="AP6" t="str">
            <v>Imagine Waking Up Tomorrow And All Music Has Disappeared (aka Off The Record)</v>
          </cell>
          <cell r="AQ6" t="str">
            <v>In Art We Trust</v>
          </cell>
          <cell r="AR6" t="str">
            <v>Köpek</v>
          </cell>
          <cell r="AS6" t="str">
            <v>L'abri</v>
          </cell>
          <cell r="AT6" t="str">
            <v>L'amour est un crime parfait</v>
          </cell>
          <cell r="AU6" t="str">
            <v>L'oasis de mendiants</v>
          </cell>
          <cell r="AV6" t="str">
            <v>L'oro verde</v>
          </cell>
          <cell r="AW6" t="str">
            <v>La buena vida</v>
          </cell>
          <cell r="AX6" t="str">
            <v>La fuga</v>
          </cell>
          <cell r="AY6" t="str">
            <v>La palmira</v>
          </cell>
          <cell r="AZ6" t="str">
            <v>La rançon de la gloire</v>
          </cell>
          <cell r="BA6" t="str">
            <v xml:space="preserve">La revolution silencieuse </v>
          </cell>
          <cell r="BB6" t="str">
            <v>La trace</v>
          </cell>
          <cell r="BC6" t="str">
            <v>Le masque de San</v>
          </cell>
          <cell r="BD6" t="str">
            <v>Le meraviglie</v>
          </cell>
          <cell r="BE6" t="str">
            <v>Liebe und Zufall (aka jetzt oder nie)</v>
          </cell>
          <cell r="BF6" t="str">
            <v>Love Island</v>
          </cell>
          <cell r="BG6" t="str">
            <v>Mein Bruder heisst Robert und ist ein Idiot</v>
          </cell>
          <cell r="BH6" t="str">
            <v>Mirage d'amour avec fanfare</v>
          </cell>
          <cell r="BI6" t="str">
            <v>Mitten ins Land</v>
          </cell>
          <cell r="BJ6" t="str">
            <v>My Name Is Salt</v>
          </cell>
          <cell r="BK6" t="str">
            <v>Night Train to Lisbon</v>
          </cell>
          <cell r="BL6" t="str">
            <v>O Samba</v>
          </cell>
          <cell r="BM6" t="str">
            <v>Otra Isla</v>
          </cell>
          <cell r="BN6" t="str">
            <v>Pause</v>
          </cell>
          <cell r="BO6" t="str">
            <v>Sangue</v>
          </cell>
          <cell r="BP6" t="str">
            <v>Schweizer Helden</v>
          </cell>
          <cell r="BQ6" t="str">
            <v>Shalom Allah (aka Nicole heisst jetzt Aïcha)</v>
          </cell>
          <cell r="BR6" t="str">
            <v>Si tout va bien</v>
          </cell>
          <cell r="BS6" t="str">
            <v>Sie hetzten mich durch Arizona</v>
          </cell>
          <cell r="BT6" t="str">
            <v>Son of a Fool (aka The Fool and the Princesses)</v>
          </cell>
          <cell r="BU6" t="str">
            <v>Staatenlos - Klaus Rozsa, Fotograf</v>
          </cell>
          <cell r="BV6" t="str">
            <v>Tant qu'il pleut en Amérique</v>
          </cell>
          <cell r="BW6" t="str">
            <v>The Chimpanzee Complex</v>
          </cell>
          <cell r="BX6" t="str">
            <v>The Chinese Recipe</v>
          </cell>
          <cell r="BY6" t="str">
            <v>Thomas Hirschhorn - Gramsci Monument</v>
          </cell>
          <cell r="BZ6" t="str">
            <v>Traumland</v>
          </cell>
          <cell r="CA6" t="str">
            <v xml:space="preserve">Unter der Haut </v>
          </cell>
          <cell r="CB6" t="str">
            <v>Vergine giurata</v>
          </cell>
          <cell r="CC6" t="str">
            <v>Watermarks</v>
          </cell>
        </row>
        <row r="7">
          <cell r="A7" t="str">
            <v>genre</v>
          </cell>
          <cell r="B7" t="str">
            <v>Genre (F, D, A)</v>
          </cell>
          <cell r="C7"/>
          <cell r="D7" t="str">
            <v>F</v>
          </cell>
          <cell r="E7" t="str">
            <v>D</v>
          </cell>
          <cell r="F7" t="str">
            <v>F</v>
          </cell>
          <cell r="G7" t="str">
            <v>D</v>
          </cell>
          <cell r="H7" t="str">
            <v>F</v>
          </cell>
          <cell r="I7" t="str">
            <v>D</v>
          </cell>
          <cell r="J7" t="str">
            <v>F</v>
          </cell>
          <cell r="K7" t="str">
            <v>D</v>
          </cell>
          <cell r="L7" t="str">
            <v>D</v>
          </cell>
          <cell r="M7" t="str">
            <v>F</v>
          </cell>
          <cell r="N7" t="str">
            <v>D</v>
          </cell>
          <cell r="O7" t="str">
            <v>D</v>
          </cell>
          <cell r="P7" t="str">
            <v>F</v>
          </cell>
          <cell r="Q7" t="str">
            <v>F</v>
          </cell>
          <cell r="R7" t="str">
            <v>F</v>
          </cell>
          <cell r="S7" t="str">
            <v>F</v>
          </cell>
          <cell r="T7" t="str">
            <v>D</v>
          </cell>
          <cell r="U7" t="str">
            <v>D</v>
          </cell>
          <cell r="V7" t="str">
            <v>D</v>
          </cell>
          <cell r="W7" t="str">
            <v>F</v>
          </cell>
          <cell r="X7" t="str">
            <v>F</v>
          </cell>
          <cell r="Y7" t="str">
            <v>F</v>
          </cell>
          <cell r="Z7" t="str">
            <v>F</v>
          </cell>
          <cell r="AA7" t="str">
            <v>F</v>
          </cell>
          <cell r="AB7" t="str">
            <v>F</v>
          </cell>
          <cell r="AC7" t="str">
            <v>D</v>
          </cell>
          <cell r="AD7" t="str">
            <v>D</v>
          </cell>
          <cell r="AE7" t="str">
            <v>F</v>
          </cell>
          <cell r="AF7" t="str">
            <v>D</v>
          </cell>
          <cell r="AG7" t="str">
            <v>D</v>
          </cell>
          <cell r="AH7" t="str">
            <v>F</v>
          </cell>
          <cell r="AI7" t="str">
            <v>D</v>
          </cell>
          <cell r="AJ7" t="str">
            <v>D</v>
          </cell>
          <cell r="AK7" t="str">
            <v>D</v>
          </cell>
          <cell r="AL7" t="str">
            <v>D</v>
          </cell>
          <cell r="AM7" t="str">
            <v>D</v>
          </cell>
          <cell r="AN7" t="str">
            <v>D</v>
          </cell>
          <cell r="AO7" t="str">
            <v>D</v>
          </cell>
          <cell r="AP7" t="str">
            <v>D</v>
          </cell>
          <cell r="AQ7" t="str">
            <v>D</v>
          </cell>
          <cell r="AR7" t="str">
            <v>F</v>
          </cell>
          <cell r="AS7" t="str">
            <v>D</v>
          </cell>
          <cell r="AT7" t="str">
            <v>F</v>
          </cell>
          <cell r="AU7" t="str">
            <v>D</v>
          </cell>
          <cell r="AV7" t="str">
            <v>F</v>
          </cell>
          <cell r="AW7" t="str">
            <v>D</v>
          </cell>
          <cell r="AX7" t="str">
            <v>F</v>
          </cell>
          <cell r="AY7" t="str">
            <v>F</v>
          </cell>
          <cell r="AZ7" t="str">
            <v>F</v>
          </cell>
          <cell r="BA7" t="str">
            <v>D</v>
          </cell>
          <cell r="BB7" t="str">
            <v>D</v>
          </cell>
          <cell r="BC7" t="str">
            <v>F</v>
          </cell>
          <cell r="BD7" t="str">
            <v>F</v>
          </cell>
          <cell r="BE7" t="str">
            <v>F</v>
          </cell>
          <cell r="BF7" t="str">
            <v>F</v>
          </cell>
          <cell r="BG7" t="str">
            <v>F</v>
          </cell>
          <cell r="BH7" t="str">
            <v>F</v>
          </cell>
          <cell r="BI7" t="str">
            <v>D</v>
          </cell>
          <cell r="BJ7" t="str">
            <v>D</v>
          </cell>
          <cell r="BK7" t="str">
            <v>F</v>
          </cell>
          <cell r="BL7" t="str">
            <v>D</v>
          </cell>
          <cell r="BM7" t="str">
            <v>D</v>
          </cell>
          <cell r="BN7" t="str">
            <v>F</v>
          </cell>
          <cell r="BO7" t="str">
            <v>D</v>
          </cell>
          <cell r="BP7" t="str">
            <v>F</v>
          </cell>
          <cell r="BQ7" t="str">
            <v>D</v>
          </cell>
          <cell r="BR7" t="str">
            <v>D</v>
          </cell>
          <cell r="BS7" t="str">
            <v>F</v>
          </cell>
          <cell r="BT7" t="str">
            <v>F</v>
          </cell>
          <cell r="BU7" t="str">
            <v>D</v>
          </cell>
          <cell r="BV7" t="str">
            <v>D</v>
          </cell>
          <cell r="BW7" t="str">
            <v>D</v>
          </cell>
          <cell r="BX7" t="str">
            <v>D</v>
          </cell>
          <cell r="BY7" t="str">
            <v>D</v>
          </cell>
          <cell r="BZ7" t="str">
            <v>F</v>
          </cell>
          <cell r="CA7" t="str">
            <v>F</v>
          </cell>
          <cell r="CB7" t="str">
            <v>F</v>
          </cell>
          <cell r="CC7" t="str">
            <v>D</v>
          </cell>
        </row>
        <row r="8">
          <cell r="A8" t="str">
            <v>type</v>
          </cell>
          <cell r="B8" t="str">
            <v>Typ (CH, MAJ; MIN)</v>
          </cell>
          <cell r="C8"/>
          <cell r="D8" t="str">
            <v>MAJ</v>
          </cell>
          <cell r="E8" t="str">
            <v>MAJ</v>
          </cell>
          <cell r="F8" t="str">
            <v>CH</v>
          </cell>
          <cell r="G8" t="str">
            <v>CH</v>
          </cell>
          <cell r="H8" t="str">
            <v>CH</v>
          </cell>
          <cell r="I8" t="str">
            <v>CH</v>
          </cell>
          <cell r="J8" t="str">
            <v>MAJ</v>
          </cell>
          <cell r="K8" t="str">
            <v>CH</v>
          </cell>
          <cell r="L8" t="str">
            <v>CH</v>
          </cell>
          <cell r="M8" t="str">
            <v>MAJ</v>
          </cell>
          <cell r="N8" t="str">
            <v>CH</v>
          </cell>
          <cell r="O8" t="str">
            <v>CH</v>
          </cell>
          <cell r="P8" t="str">
            <v>CH</v>
          </cell>
          <cell r="Q8" t="str">
            <v>CH</v>
          </cell>
          <cell r="R8" t="str">
            <v>MIN</v>
          </cell>
          <cell r="S8" t="str">
            <v>CH</v>
          </cell>
          <cell r="T8" t="str">
            <v>CH</v>
          </cell>
          <cell r="U8" t="str">
            <v>CH</v>
          </cell>
          <cell r="V8" t="str">
            <v>MIN</v>
          </cell>
          <cell r="W8" t="str">
            <v>CH</v>
          </cell>
          <cell r="X8" t="str">
            <v>MIN</v>
          </cell>
          <cell r="Y8" t="str">
            <v>CH</v>
          </cell>
          <cell r="Z8" t="str">
            <v>MAJ</v>
          </cell>
          <cell r="AA8" t="str">
            <v>MIN</v>
          </cell>
          <cell r="AB8" t="str">
            <v>CH</v>
          </cell>
          <cell r="AC8" t="str">
            <v>MIN</v>
          </cell>
          <cell r="AD8" t="str">
            <v>CH</v>
          </cell>
          <cell r="AE8" t="str">
            <v>MIN</v>
          </cell>
          <cell r="AF8" t="str">
            <v>CH</v>
          </cell>
          <cell r="AG8" t="str">
            <v>CH</v>
          </cell>
          <cell r="AH8" t="str">
            <v>CH</v>
          </cell>
          <cell r="AI8" t="str">
            <v>CH</v>
          </cell>
          <cell r="AJ8" t="str">
            <v>MAJ</v>
          </cell>
          <cell r="AK8" t="str">
            <v>CH</v>
          </cell>
          <cell r="AL8" t="str">
            <v>CH</v>
          </cell>
          <cell r="AM8" t="str">
            <v>CH</v>
          </cell>
          <cell r="AN8" t="str">
            <v>MIN</v>
          </cell>
          <cell r="AO8" t="str">
            <v>CH</v>
          </cell>
          <cell r="AP8" t="str">
            <v>CH</v>
          </cell>
          <cell r="AQ8" t="str">
            <v>MAJ</v>
          </cell>
          <cell r="AR8" t="str">
            <v>CH</v>
          </cell>
          <cell r="AS8" t="str">
            <v>CH</v>
          </cell>
          <cell r="AT8" t="str">
            <v>MIN</v>
          </cell>
          <cell r="AU8" t="str">
            <v>CH</v>
          </cell>
          <cell r="AV8" t="str">
            <v>CH</v>
          </cell>
          <cell r="AW8" t="str">
            <v>MIN</v>
          </cell>
          <cell r="AX8" t="str">
            <v>MIN</v>
          </cell>
          <cell r="AY8" t="str">
            <v>CH</v>
          </cell>
          <cell r="AZ8" t="str">
            <v>MIN</v>
          </cell>
          <cell r="BA8" t="str">
            <v>CH</v>
          </cell>
          <cell r="BB8" t="str">
            <v>CH</v>
          </cell>
          <cell r="BC8" t="str">
            <v>CH</v>
          </cell>
          <cell r="BD8" t="str">
            <v>MIN</v>
          </cell>
          <cell r="BE8" t="str">
            <v>CH</v>
          </cell>
          <cell r="BF8" t="str">
            <v>MIN</v>
          </cell>
          <cell r="BG8" t="str">
            <v>MIN</v>
          </cell>
          <cell r="BH8" t="str">
            <v>MIN</v>
          </cell>
          <cell r="BI8" t="str">
            <v>CH</v>
          </cell>
          <cell r="BJ8" t="str">
            <v>CH</v>
          </cell>
          <cell r="BK8" t="str">
            <v>MIN</v>
          </cell>
          <cell r="BL8" t="str">
            <v>CH</v>
          </cell>
          <cell r="BM8" t="str">
            <v>CH</v>
          </cell>
          <cell r="BN8" t="str">
            <v>CH</v>
          </cell>
          <cell r="BO8" t="str">
            <v>CH</v>
          </cell>
          <cell r="BP8" t="str">
            <v>CH</v>
          </cell>
          <cell r="BQ8" t="str">
            <v>CH</v>
          </cell>
          <cell r="BR8" t="str">
            <v>CH</v>
          </cell>
          <cell r="BS8" t="str">
            <v>MAJ</v>
          </cell>
          <cell r="BT8" t="str">
            <v>CH</v>
          </cell>
          <cell r="BU8" t="str">
            <v>CH</v>
          </cell>
          <cell r="BV8" t="str">
            <v>CH</v>
          </cell>
          <cell r="BW8" t="str">
            <v>CH</v>
          </cell>
          <cell r="BX8" t="str">
            <v>CH</v>
          </cell>
          <cell r="BY8" t="str">
            <v>CH</v>
          </cell>
          <cell r="BZ8" t="str">
            <v>CH</v>
          </cell>
          <cell r="CA8" t="str">
            <v>CH</v>
          </cell>
          <cell r="CB8" t="str">
            <v>MIN</v>
          </cell>
          <cell r="CC8" t="str">
            <v>CH</v>
          </cell>
        </row>
        <row r="9">
          <cell r="A9" t="str">
            <v>sex</v>
          </cell>
          <cell r="B9" t="str">
            <v>Gender (M, F, X)</v>
          </cell>
          <cell r="C9"/>
          <cell r="D9" t="str">
            <v>M</v>
          </cell>
          <cell r="E9" t="str">
            <v>M</v>
          </cell>
          <cell r="F9" t="str">
            <v>M</v>
          </cell>
          <cell r="G9" t="str">
            <v>M</v>
          </cell>
          <cell r="H9" t="str">
            <v>M</v>
          </cell>
          <cell r="I9" t="str">
            <v>F</v>
          </cell>
          <cell r="J9" t="str">
            <v>M</v>
          </cell>
          <cell r="K9" t="str">
            <v>M</v>
          </cell>
          <cell r="L9" t="str">
            <v>X</v>
          </cell>
          <cell r="M9" t="str">
            <v>M</v>
          </cell>
          <cell r="N9" t="str">
            <v>X</v>
          </cell>
          <cell r="O9" t="str">
            <v>M</v>
          </cell>
          <cell r="P9" t="str">
            <v>M</v>
          </cell>
          <cell r="Q9" t="str">
            <v>M</v>
          </cell>
          <cell r="R9" t="str">
            <v>M</v>
          </cell>
          <cell r="S9" t="str">
            <v>M</v>
          </cell>
          <cell r="T9" t="str">
            <v>M</v>
          </cell>
          <cell r="U9" t="str">
            <v>F</v>
          </cell>
          <cell r="V9" t="str">
            <v>X</v>
          </cell>
          <cell r="W9" t="str">
            <v>F</v>
          </cell>
          <cell r="X9" t="str">
            <v>M</v>
          </cell>
          <cell r="Y9" t="str">
            <v>M</v>
          </cell>
          <cell r="Z9" t="str">
            <v>M</v>
          </cell>
          <cell r="AA9" t="str">
            <v>M</v>
          </cell>
          <cell r="AB9" t="str">
            <v>F</v>
          </cell>
          <cell r="AC9" t="str">
            <v>M</v>
          </cell>
          <cell r="AD9" t="str">
            <v>M</v>
          </cell>
          <cell r="AE9" t="str">
            <v>M</v>
          </cell>
          <cell r="AF9" t="str">
            <v>M</v>
          </cell>
          <cell r="AG9" t="str">
            <v>M</v>
          </cell>
          <cell r="AH9" t="str">
            <v>M</v>
          </cell>
          <cell r="AI9" t="str">
            <v>M</v>
          </cell>
          <cell r="AJ9" t="str">
            <v>M</v>
          </cell>
          <cell r="AK9" t="str">
            <v>F</v>
          </cell>
          <cell r="AL9" t="str">
            <v>F</v>
          </cell>
          <cell r="AM9" t="str">
            <v>M</v>
          </cell>
          <cell r="AN9" t="str">
            <v>M</v>
          </cell>
          <cell r="AO9" t="str">
            <v>M</v>
          </cell>
          <cell r="AP9" t="str">
            <v>M</v>
          </cell>
          <cell r="AQ9" t="str">
            <v>M</v>
          </cell>
          <cell r="AR9" t="str">
            <v>F</v>
          </cell>
          <cell r="AS9" t="str">
            <v>M</v>
          </cell>
          <cell r="AT9" t="str">
            <v>M</v>
          </cell>
          <cell r="AU9" t="str">
            <v>F</v>
          </cell>
          <cell r="AV9" t="str">
            <v>M</v>
          </cell>
          <cell r="AW9" t="str">
            <v>M</v>
          </cell>
          <cell r="AX9" t="str">
            <v>F</v>
          </cell>
          <cell r="AY9" t="str">
            <v>M</v>
          </cell>
          <cell r="AZ9" t="str">
            <v>M</v>
          </cell>
          <cell r="BA9" t="str">
            <v>F</v>
          </cell>
          <cell r="BB9" t="str">
            <v>M</v>
          </cell>
          <cell r="BC9" t="str">
            <v>M</v>
          </cell>
          <cell r="BD9" t="str">
            <v>F</v>
          </cell>
          <cell r="BE9" t="str">
            <v>M</v>
          </cell>
          <cell r="BF9" t="str">
            <v>F</v>
          </cell>
          <cell r="BG9" t="str">
            <v>M</v>
          </cell>
          <cell r="BH9" t="str">
            <v>M</v>
          </cell>
          <cell r="BI9" t="str">
            <v>M</v>
          </cell>
          <cell r="BJ9" t="str">
            <v>F</v>
          </cell>
          <cell r="BK9" t="str">
            <v>M</v>
          </cell>
          <cell r="BL9" t="str">
            <v>M</v>
          </cell>
          <cell r="BM9" t="str">
            <v>F</v>
          </cell>
          <cell r="BN9" t="str">
            <v>M</v>
          </cell>
          <cell r="BO9" t="str">
            <v>M</v>
          </cell>
          <cell r="BP9" t="str">
            <v>M</v>
          </cell>
          <cell r="BQ9" t="str">
            <v>M</v>
          </cell>
          <cell r="BR9" t="str">
            <v>M</v>
          </cell>
          <cell r="BS9" t="str">
            <v>M</v>
          </cell>
          <cell r="BT9" t="str">
            <v>M</v>
          </cell>
          <cell r="BU9" t="str">
            <v>M</v>
          </cell>
          <cell r="BV9" t="str">
            <v>M</v>
          </cell>
          <cell r="BW9" t="str">
            <v>M</v>
          </cell>
          <cell r="BX9" t="str">
            <v>M</v>
          </cell>
          <cell r="BY9" t="str">
            <v>M</v>
          </cell>
          <cell r="BZ9" t="str">
            <v>F</v>
          </cell>
          <cell r="CA9" t="str">
            <v>F</v>
          </cell>
          <cell r="CB9" t="str">
            <v>F</v>
          </cell>
          <cell r="CC9" t="str">
            <v>M</v>
          </cell>
        </row>
        <row r="10">
          <cell r="A10" t="str">
            <v>upcoming</v>
          </cell>
          <cell r="B10" t="str">
            <v>Nachwuchs (ja, nein)</v>
          </cell>
          <cell r="C10"/>
          <cell r="D10" t="str">
            <v>nein</v>
          </cell>
          <cell r="E10" t="str">
            <v>ja</v>
          </cell>
          <cell r="F10" t="str">
            <v>nein</v>
          </cell>
          <cell r="G10" t="str">
            <v>nein</v>
          </cell>
          <cell r="H10" t="str">
            <v>ja</v>
          </cell>
          <cell r="I10" t="str">
            <v>ja</v>
          </cell>
          <cell r="J10" t="str">
            <v>nein</v>
          </cell>
          <cell r="K10" t="str">
            <v>nein</v>
          </cell>
          <cell r="L10" t="str">
            <v>nein</v>
          </cell>
          <cell r="M10" t="str">
            <v>ja</v>
          </cell>
          <cell r="N10" t="str">
            <v>nein</v>
          </cell>
          <cell r="O10" t="str">
            <v>ja</v>
          </cell>
          <cell r="P10" t="str">
            <v>ja</v>
          </cell>
          <cell r="Q10" t="str">
            <v>ja</v>
          </cell>
          <cell r="R10" t="str">
            <v>nein</v>
          </cell>
          <cell r="S10" t="str">
            <v>ja</v>
          </cell>
          <cell r="T10" t="str">
            <v>nein</v>
          </cell>
          <cell r="U10" t="str">
            <v>ja</v>
          </cell>
          <cell r="V10" t="str">
            <v>nein</v>
          </cell>
          <cell r="W10" t="str">
            <v>nein</v>
          </cell>
          <cell r="X10" t="str">
            <v>nein</v>
          </cell>
          <cell r="Y10" t="str">
            <v>nein</v>
          </cell>
          <cell r="Z10" t="str">
            <v>nein</v>
          </cell>
          <cell r="AA10" t="str">
            <v>ja</v>
          </cell>
          <cell r="AB10" t="str">
            <v>ja</v>
          </cell>
          <cell r="AC10" t="str">
            <v>nein</v>
          </cell>
          <cell r="AD10" t="str">
            <v>nein</v>
          </cell>
          <cell r="AE10" t="str">
            <v>nein</v>
          </cell>
          <cell r="AF10" t="str">
            <v>nein</v>
          </cell>
          <cell r="AG10" t="str">
            <v>nein</v>
          </cell>
          <cell r="AH10" t="str">
            <v>ja</v>
          </cell>
          <cell r="AI10" t="str">
            <v>ja</v>
          </cell>
          <cell r="AJ10" t="str">
            <v>nein</v>
          </cell>
          <cell r="AK10" t="str">
            <v>nein</v>
          </cell>
          <cell r="AL10" t="str">
            <v>ja</v>
          </cell>
          <cell r="AM10" t="str">
            <v>ja</v>
          </cell>
          <cell r="AN10" t="str">
            <v>nein</v>
          </cell>
          <cell r="AO10" t="str">
            <v>nein</v>
          </cell>
          <cell r="AP10" t="str">
            <v>nein</v>
          </cell>
          <cell r="AQ10" t="str">
            <v>nein</v>
          </cell>
          <cell r="AR10" t="str">
            <v>ja</v>
          </cell>
          <cell r="AS10" t="str">
            <v>nein</v>
          </cell>
          <cell r="AT10" t="str">
            <v>nein</v>
          </cell>
          <cell r="AU10" t="str">
            <v>ja</v>
          </cell>
          <cell r="AV10" t="str">
            <v>nein</v>
          </cell>
          <cell r="AW10" t="str">
            <v>nein</v>
          </cell>
          <cell r="AX10" t="str">
            <v>ja</v>
          </cell>
          <cell r="AY10" t="str">
            <v>ja</v>
          </cell>
          <cell r="AZ10" t="str">
            <v>nein</v>
          </cell>
          <cell r="BA10" t="str">
            <v>ja</v>
          </cell>
          <cell r="BB10" t="str">
            <v>nein</v>
          </cell>
          <cell r="BC10" t="str">
            <v>nein</v>
          </cell>
          <cell r="BD10" t="str">
            <v>nein</v>
          </cell>
          <cell r="BE10" t="str">
            <v>nein</v>
          </cell>
          <cell r="BF10" t="str">
            <v>nein</v>
          </cell>
          <cell r="BG10" t="str">
            <v>nein</v>
          </cell>
          <cell r="BH10" t="str">
            <v>nein</v>
          </cell>
          <cell r="BI10" t="str">
            <v>nein</v>
          </cell>
          <cell r="BJ10" t="str">
            <v>ja</v>
          </cell>
          <cell r="BK10" t="str">
            <v>nein</v>
          </cell>
          <cell r="BL10" t="str">
            <v>nein</v>
          </cell>
          <cell r="BM10" t="str">
            <v>ja</v>
          </cell>
          <cell r="BN10" t="str">
            <v>ja</v>
          </cell>
          <cell r="BO10" t="str">
            <v>nein</v>
          </cell>
          <cell r="BP10" t="str">
            <v>nein</v>
          </cell>
          <cell r="BQ10" t="str">
            <v>ja</v>
          </cell>
          <cell r="BR10" t="str">
            <v>ja</v>
          </cell>
          <cell r="BS10" t="str">
            <v>ja</v>
          </cell>
          <cell r="BT10" t="str">
            <v>nein</v>
          </cell>
          <cell r="BU10" t="str">
            <v>nein</v>
          </cell>
          <cell r="BV10" t="str">
            <v>nein</v>
          </cell>
          <cell r="BW10" t="str">
            <v>nein</v>
          </cell>
          <cell r="BX10" t="str">
            <v>nein</v>
          </cell>
          <cell r="BY10" t="str">
            <v>nein</v>
          </cell>
          <cell r="BZ10" t="str">
            <v>nein</v>
          </cell>
          <cell r="CA10" t="str">
            <v>ja</v>
          </cell>
          <cell r="CB10" t="str">
            <v>ja</v>
          </cell>
          <cell r="CC10" t="str">
            <v>nein</v>
          </cell>
        </row>
        <row r="11">
          <cell r="A11" t="str">
            <v>lang</v>
          </cell>
          <cell r="B11" t="str">
            <v>Sprache (de, fr, it)</v>
          </cell>
          <cell r="C11"/>
          <cell r="D11" t="str">
            <v>it</v>
          </cell>
          <cell r="E11" t="str">
            <v>de</v>
          </cell>
          <cell r="F11" t="str">
            <v>de</v>
          </cell>
          <cell r="G11" t="str">
            <v>it</v>
          </cell>
          <cell r="H11" t="str">
            <v>de</v>
          </cell>
          <cell r="I11" t="str">
            <v>de</v>
          </cell>
          <cell r="J11" t="str">
            <v>de</v>
          </cell>
          <cell r="K11" t="str">
            <v>de</v>
          </cell>
          <cell r="L11" t="str">
            <v>fr</v>
          </cell>
          <cell r="M11" t="str">
            <v>fr</v>
          </cell>
          <cell r="N11" t="str">
            <v>fr</v>
          </cell>
          <cell r="O11" t="str">
            <v>fr</v>
          </cell>
          <cell r="P11" t="str">
            <v>de</v>
          </cell>
          <cell r="Q11" t="str">
            <v>de</v>
          </cell>
          <cell r="R11" t="str">
            <v>fr</v>
          </cell>
          <cell r="S11" t="str">
            <v>fr</v>
          </cell>
          <cell r="T11" t="str">
            <v>de</v>
          </cell>
          <cell r="U11" t="str">
            <v>de</v>
          </cell>
          <cell r="V11" t="str">
            <v>de</v>
          </cell>
          <cell r="W11" t="str">
            <v>de</v>
          </cell>
          <cell r="X11" t="str">
            <v>de</v>
          </cell>
          <cell r="Y11" t="str">
            <v>de</v>
          </cell>
          <cell r="Z11" t="str">
            <v>de</v>
          </cell>
          <cell r="AA11" t="str">
            <v>de</v>
          </cell>
          <cell r="AB11" t="str">
            <v>fr</v>
          </cell>
          <cell r="AC11" t="str">
            <v>de</v>
          </cell>
          <cell r="AD11" t="str">
            <v>de</v>
          </cell>
          <cell r="AE11" t="str">
            <v>de</v>
          </cell>
          <cell r="AF11" t="str">
            <v>de</v>
          </cell>
          <cell r="AG11" t="str">
            <v>fr</v>
          </cell>
          <cell r="AH11" t="str">
            <v>de</v>
          </cell>
          <cell r="AI11" t="str">
            <v>de</v>
          </cell>
          <cell r="AJ11" t="str">
            <v>fr</v>
          </cell>
          <cell r="AK11" t="str">
            <v>de</v>
          </cell>
          <cell r="AL11" t="str">
            <v>de</v>
          </cell>
          <cell r="AM11" t="str">
            <v>de</v>
          </cell>
          <cell r="AN11" t="str">
            <v>it</v>
          </cell>
          <cell r="AO11" t="str">
            <v>de</v>
          </cell>
          <cell r="AP11" t="str">
            <v>de</v>
          </cell>
          <cell r="AQ11" t="str">
            <v>fr</v>
          </cell>
          <cell r="AR11" t="str">
            <v>de</v>
          </cell>
          <cell r="AS11" t="str">
            <v>fr</v>
          </cell>
          <cell r="AT11" t="str">
            <v>fr</v>
          </cell>
          <cell r="AU11" t="str">
            <v>fr</v>
          </cell>
          <cell r="AV11" t="str">
            <v>it</v>
          </cell>
          <cell r="AW11" t="str">
            <v>de</v>
          </cell>
          <cell r="AX11" t="str">
            <v>it</v>
          </cell>
          <cell r="AY11" t="str">
            <v>it</v>
          </cell>
          <cell r="AZ11" t="str">
            <v>fr</v>
          </cell>
          <cell r="BA11" t="str">
            <v>fr</v>
          </cell>
          <cell r="BB11" t="str">
            <v>fr</v>
          </cell>
          <cell r="BC11" t="str">
            <v>fr</v>
          </cell>
          <cell r="BD11" t="str">
            <v>it</v>
          </cell>
          <cell r="BE11" t="str">
            <v>de</v>
          </cell>
          <cell r="BF11" t="str">
            <v>de</v>
          </cell>
          <cell r="BG11" t="str">
            <v>de</v>
          </cell>
          <cell r="BH11" t="str">
            <v>fr</v>
          </cell>
          <cell r="BI11" t="str">
            <v>de</v>
          </cell>
          <cell r="BJ11" t="str">
            <v>de</v>
          </cell>
          <cell r="BK11" t="str">
            <v>de</v>
          </cell>
          <cell r="BL11" t="str">
            <v>de</v>
          </cell>
          <cell r="BM11" t="str">
            <v>fr</v>
          </cell>
          <cell r="BN11" t="str">
            <v>fr</v>
          </cell>
          <cell r="BO11" t="str">
            <v>it</v>
          </cell>
          <cell r="BP11" t="str">
            <v>de</v>
          </cell>
          <cell r="BQ11" t="str">
            <v>de</v>
          </cell>
          <cell r="BR11" t="str">
            <v>fr</v>
          </cell>
          <cell r="BS11" t="str">
            <v>it</v>
          </cell>
          <cell r="BT11" t="str">
            <v>de</v>
          </cell>
          <cell r="BU11" t="str">
            <v>de</v>
          </cell>
          <cell r="BV11" t="str">
            <v>fr</v>
          </cell>
          <cell r="BW11" t="str">
            <v>de</v>
          </cell>
          <cell r="BX11" t="str">
            <v>de</v>
          </cell>
          <cell r="BY11" t="str">
            <v>de</v>
          </cell>
          <cell r="BZ11" t="str">
            <v>de</v>
          </cell>
          <cell r="CA11" t="str">
            <v>de</v>
          </cell>
          <cell r="CB11" t="str">
            <v>it</v>
          </cell>
          <cell r="CC11" t="str">
            <v>de</v>
          </cell>
        </row>
        <row r="12">
          <cell r="A12" t="str">
            <v>kanton</v>
          </cell>
          <cell r="B12" t="str">
            <v>Kanton Produktion</v>
          </cell>
          <cell r="C12"/>
          <cell r="D12" t="str">
            <v>ZH</v>
          </cell>
          <cell r="E12" t="str">
            <v>ZH</v>
          </cell>
          <cell r="F12" t="str">
            <v>ZH</v>
          </cell>
          <cell r="G12" t="str">
            <v>TI</v>
          </cell>
          <cell r="H12" t="str">
            <v>ZH</v>
          </cell>
          <cell r="I12" t="str">
            <v>ZH</v>
          </cell>
          <cell r="J12" t="str">
            <v>ZH</v>
          </cell>
          <cell r="K12" t="str">
            <v>BS</v>
          </cell>
          <cell r="L12" t="str">
            <v>VD</v>
          </cell>
          <cell r="M12" t="str">
            <v>VD</v>
          </cell>
          <cell r="N12" t="str">
            <v>GE</v>
          </cell>
          <cell r="O12" t="str">
            <v>ZH</v>
          </cell>
          <cell r="P12" t="str">
            <v>ZH</v>
          </cell>
          <cell r="Q12" t="str">
            <v>ZH</v>
          </cell>
          <cell r="R12" t="str">
            <v>VD</v>
          </cell>
          <cell r="S12" t="str">
            <v>GE</v>
          </cell>
          <cell r="T12" t="str">
            <v>ZH</v>
          </cell>
          <cell r="U12" t="str">
            <v>ZH</v>
          </cell>
          <cell r="V12" t="str">
            <v>ZH</v>
          </cell>
          <cell r="W12" t="str">
            <v>ZH</v>
          </cell>
          <cell r="X12" t="str">
            <v>ZH</v>
          </cell>
          <cell r="Y12" t="str">
            <v>ZH</v>
          </cell>
          <cell r="Z12" t="str">
            <v>ZH</v>
          </cell>
          <cell r="AA12" t="str">
            <v>ZH</v>
          </cell>
          <cell r="AB12" t="str">
            <v>VS</v>
          </cell>
          <cell r="AC12" t="str">
            <v>ZH</v>
          </cell>
          <cell r="AD12" t="str">
            <v>ZH</v>
          </cell>
          <cell r="AE12" t="str">
            <v>ZH</v>
          </cell>
          <cell r="AF12" t="str">
            <v>ZH</v>
          </cell>
          <cell r="AG12" t="str">
            <v>GE</v>
          </cell>
          <cell r="AH12" t="str">
            <v>ZH</v>
          </cell>
          <cell r="AI12" t="str">
            <v>ZH</v>
          </cell>
          <cell r="AJ12" t="str">
            <v>GE</v>
          </cell>
          <cell r="AK12" t="str">
            <v>ZH</v>
          </cell>
          <cell r="AL12" t="str">
            <v>BE</v>
          </cell>
          <cell r="AM12" t="str">
            <v>BS</v>
          </cell>
          <cell r="AN12" t="str">
            <v>TI</v>
          </cell>
          <cell r="AO12" t="str">
            <v>ZH</v>
          </cell>
          <cell r="AP12" t="str">
            <v>ZH</v>
          </cell>
          <cell r="AQ12" t="str">
            <v>GE</v>
          </cell>
          <cell r="AR12" t="str">
            <v>ZH</v>
          </cell>
          <cell r="AS12" t="str">
            <v>VD</v>
          </cell>
          <cell r="AT12" t="str">
            <v>ZH</v>
          </cell>
          <cell r="AU12" t="str">
            <v>NE</v>
          </cell>
          <cell r="AV12" t="str">
            <v>TI</v>
          </cell>
          <cell r="AW12" t="str">
            <v>BS</v>
          </cell>
          <cell r="AX12" t="str">
            <v>ZH</v>
          </cell>
          <cell r="AY12" t="str">
            <v>TI</v>
          </cell>
          <cell r="AZ12" t="str">
            <v>GE</v>
          </cell>
          <cell r="BA12" t="str">
            <v>GE</v>
          </cell>
          <cell r="BB12" t="str">
            <v>GE</v>
          </cell>
          <cell r="BC12" t="str">
            <v>GE</v>
          </cell>
          <cell r="BD12" t="str">
            <v>TI</v>
          </cell>
          <cell r="BE12" t="str">
            <v>ZH</v>
          </cell>
          <cell r="BF12" t="str">
            <v>ZH</v>
          </cell>
          <cell r="BG12" t="str">
            <v>TI</v>
          </cell>
          <cell r="BH12" t="str">
            <v>FR</v>
          </cell>
          <cell r="BI12" t="str">
            <v>BE</v>
          </cell>
          <cell r="BJ12" t="str">
            <v>ZH</v>
          </cell>
          <cell r="BK12" t="str">
            <v>ZH</v>
          </cell>
          <cell r="BL12" t="str">
            <v>ZH</v>
          </cell>
          <cell r="BM12" t="str">
            <v>GE</v>
          </cell>
          <cell r="BN12" t="str">
            <v>VD</v>
          </cell>
          <cell r="BO12" t="str">
            <v>VD</v>
          </cell>
          <cell r="BP12" t="str">
            <v>ZH</v>
          </cell>
          <cell r="BQ12" t="str">
            <v>ZH</v>
          </cell>
          <cell r="BR12" t="str">
            <v>GE</v>
          </cell>
          <cell r="BS12" t="str">
            <v>TI</v>
          </cell>
          <cell r="BT12" t="str">
            <v>ZH</v>
          </cell>
          <cell r="BU12" t="str">
            <v>ZH</v>
          </cell>
          <cell r="BV12" t="str">
            <v>NE</v>
          </cell>
          <cell r="BW12" t="str">
            <v>ZH</v>
          </cell>
          <cell r="BX12" t="str">
            <v>BE</v>
          </cell>
          <cell r="BY12" t="str">
            <v>BS</v>
          </cell>
          <cell r="BZ12" t="str">
            <v>ZH</v>
          </cell>
          <cell r="CA12" t="str">
            <v>ZH</v>
          </cell>
          <cell r="CB12" t="str">
            <v>GE</v>
          </cell>
          <cell r="CC12" t="str">
            <v>ZH</v>
          </cell>
        </row>
        <row r="13">
          <cell r="A13" t="str">
            <v>yearprod</v>
          </cell>
          <cell r="B13" t="str">
            <v>Herstellungsjahr</v>
          </cell>
          <cell r="C13"/>
          <cell r="D13">
            <v>2013</v>
          </cell>
          <cell r="E13">
            <v>2013</v>
          </cell>
          <cell r="F13">
            <v>2013</v>
          </cell>
          <cell r="G13">
            <v>2013</v>
          </cell>
          <cell r="H13">
            <v>2013</v>
          </cell>
          <cell r="I13">
            <v>2013</v>
          </cell>
          <cell r="J13">
            <v>2013</v>
          </cell>
          <cell r="K13">
            <v>2013</v>
          </cell>
          <cell r="L13">
            <v>2013</v>
          </cell>
          <cell r="M13">
            <v>2013</v>
          </cell>
          <cell r="N13">
            <v>2013</v>
          </cell>
          <cell r="O13">
            <v>2013</v>
          </cell>
          <cell r="P13">
            <v>2013</v>
          </cell>
          <cell r="Q13">
            <v>2013</v>
          </cell>
          <cell r="R13">
            <v>2013</v>
          </cell>
          <cell r="S13">
            <v>2013</v>
          </cell>
          <cell r="T13">
            <v>2013</v>
          </cell>
          <cell r="U13">
            <v>2013</v>
          </cell>
          <cell r="V13">
            <v>2013</v>
          </cell>
          <cell r="W13">
            <v>2013</v>
          </cell>
          <cell r="X13">
            <v>2013</v>
          </cell>
          <cell r="Y13">
            <v>2013</v>
          </cell>
          <cell r="Z13">
            <v>2013</v>
          </cell>
          <cell r="AA13">
            <v>2013</v>
          </cell>
          <cell r="AB13">
            <v>2013</v>
          </cell>
          <cell r="AC13">
            <v>2013</v>
          </cell>
          <cell r="AD13">
            <v>2013</v>
          </cell>
          <cell r="AE13">
            <v>2013</v>
          </cell>
          <cell r="AF13">
            <v>2013</v>
          </cell>
          <cell r="AG13">
            <v>2013</v>
          </cell>
          <cell r="AH13">
            <v>2013</v>
          </cell>
          <cell r="AI13">
            <v>2013</v>
          </cell>
          <cell r="AJ13">
            <v>2013</v>
          </cell>
          <cell r="AK13">
            <v>2013</v>
          </cell>
          <cell r="AL13">
            <v>2013</v>
          </cell>
          <cell r="AM13">
            <v>2013</v>
          </cell>
          <cell r="AN13">
            <v>2013</v>
          </cell>
          <cell r="AO13">
            <v>2013</v>
          </cell>
          <cell r="AP13">
            <v>2013</v>
          </cell>
          <cell r="AQ13">
            <v>2013</v>
          </cell>
          <cell r="AR13">
            <v>2013</v>
          </cell>
          <cell r="AS13">
            <v>2013</v>
          </cell>
          <cell r="AT13">
            <v>2013</v>
          </cell>
          <cell r="AU13">
            <v>2013</v>
          </cell>
          <cell r="AV13">
            <v>2013</v>
          </cell>
          <cell r="AW13">
            <v>2013</v>
          </cell>
          <cell r="AX13">
            <v>2013</v>
          </cell>
          <cell r="AY13">
            <v>2013</v>
          </cell>
          <cell r="AZ13">
            <v>2013</v>
          </cell>
          <cell r="BA13">
            <v>2013</v>
          </cell>
          <cell r="BB13">
            <v>2013</v>
          </cell>
          <cell r="BC13">
            <v>2013</v>
          </cell>
          <cell r="BD13">
            <v>2013</v>
          </cell>
          <cell r="BE13">
            <v>2013</v>
          </cell>
          <cell r="BF13">
            <v>2013</v>
          </cell>
          <cell r="BG13">
            <v>2013</v>
          </cell>
          <cell r="BH13">
            <v>2013</v>
          </cell>
          <cell r="BI13">
            <v>2013</v>
          </cell>
          <cell r="BJ13">
            <v>2013</v>
          </cell>
          <cell r="BK13">
            <v>2013</v>
          </cell>
          <cell r="BL13">
            <v>2013</v>
          </cell>
          <cell r="BM13">
            <v>2013</v>
          </cell>
          <cell r="BN13">
            <v>2013</v>
          </cell>
          <cell r="BO13">
            <v>2013</v>
          </cell>
          <cell r="BP13">
            <v>2013</v>
          </cell>
          <cell r="BQ13">
            <v>2013</v>
          </cell>
          <cell r="BR13">
            <v>2013</v>
          </cell>
          <cell r="BS13">
            <v>2013</v>
          </cell>
          <cell r="BT13">
            <v>2013</v>
          </cell>
          <cell r="BU13">
            <v>2013</v>
          </cell>
          <cell r="BV13">
            <v>2013</v>
          </cell>
          <cell r="BW13">
            <v>2013</v>
          </cell>
          <cell r="BX13">
            <v>2013</v>
          </cell>
          <cell r="BY13">
            <v>2013</v>
          </cell>
          <cell r="BZ13">
            <v>2013</v>
          </cell>
          <cell r="CA13">
            <v>2013</v>
          </cell>
          <cell r="CB13">
            <v>2013</v>
          </cell>
          <cell r="CC13">
            <v>2013</v>
          </cell>
        </row>
        <row r="14">
          <cell r="A14" t="str">
            <v>yearrelease</v>
          </cell>
          <cell r="B14" t="str">
            <v>Auswertungsjahr</v>
          </cell>
          <cell r="C14"/>
          <cell r="D14">
            <v>2016</v>
          </cell>
          <cell r="E14">
            <v>2015</v>
          </cell>
          <cell r="F14">
            <v>2013</v>
          </cell>
          <cell r="G14">
            <v>2013</v>
          </cell>
          <cell r="H14">
            <v>2016</v>
          </cell>
          <cell r="I14">
            <v>2015</v>
          </cell>
          <cell r="J14">
            <v>2013</v>
          </cell>
          <cell r="K14">
            <v>2014</v>
          </cell>
          <cell r="L14">
            <v>2013</v>
          </cell>
          <cell r="M14">
            <v>2014</v>
          </cell>
          <cell r="N14">
            <v>2014</v>
          </cell>
          <cell r="O14">
            <v>2016</v>
          </cell>
          <cell r="P14">
            <v>2013</v>
          </cell>
          <cell r="Q14">
            <v>2014</v>
          </cell>
          <cell r="R14">
            <v>2014</v>
          </cell>
          <cell r="S14">
            <v>2015</v>
          </cell>
          <cell r="T14">
            <v>2015</v>
          </cell>
          <cell r="U14">
            <v>2014</v>
          </cell>
          <cell r="V14">
            <v>2015</v>
          </cell>
          <cell r="W14">
            <v>2014</v>
          </cell>
          <cell r="X14">
            <v>2014</v>
          </cell>
          <cell r="Y14">
            <v>2014</v>
          </cell>
          <cell r="Z14">
            <v>2015</v>
          </cell>
          <cell r="AA14">
            <v>2014</v>
          </cell>
          <cell r="AB14">
            <v>2014</v>
          </cell>
          <cell r="AC14">
            <v>2014</v>
          </cell>
          <cell r="AD14">
            <v>2015</v>
          </cell>
          <cell r="AE14">
            <v>2013</v>
          </cell>
          <cell r="AF14">
            <v>2013</v>
          </cell>
          <cell r="AG14">
            <v>2015</v>
          </cell>
          <cell r="AH14">
            <v>2015</v>
          </cell>
          <cell r="AI14">
            <v>2016</v>
          </cell>
          <cell r="AJ14">
            <v>2016</v>
          </cell>
          <cell r="AK14">
            <v>2017</v>
          </cell>
          <cell r="AL14">
            <v>2013</v>
          </cell>
          <cell r="AM14">
            <v>2015</v>
          </cell>
          <cell r="AN14"/>
          <cell r="AO14">
            <v>2014</v>
          </cell>
          <cell r="AP14">
            <v>2015</v>
          </cell>
          <cell r="AQ14">
            <v>2017</v>
          </cell>
          <cell r="AR14">
            <v>2015</v>
          </cell>
          <cell r="AS14">
            <v>2014</v>
          </cell>
          <cell r="AT14">
            <v>2013</v>
          </cell>
          <cell r="AU14">
            <v>2015</v>
          </cell>
          <cell r="AV14">
            <v>2014</v>
          </cell>
          <cell r="AW14">
            <v>2015</v>
          </cell>
          <cell r="AX14">
            <v>2017</v>
          </cell>
          <cell r="AY14">
            <v>2013</v>
          </cell>
          <cell r="AZ14">
            <v>2014</v>
          </cell>
          <cell r="BA14">
            <v>2016</v>
          </cell>
          <cell r="BB14">
            <v>2014</v>
          </cell>
          <cell r="BC14">
            <v>2014</v>
          </cell>
          <cell r="BD14">
            <v>2014</v>
          </cell>
          <cell r="BE14">
            <v>2014</v>
          </cell>
          <cell r="BF14">
            <v>2014</v>
          </cell>
          <cell r="BG14">
            <v>2018</v>
          </cell>
          <cell r="BH14">
            <v>2015</v>
          </cell>
          <cell r="BI14">
            <v>2015</v>
          </cell>
          <cell r="BJ14">
            <v>2013</v>
          </cell>
          <cell r="BK14">
            <v>2013</v>
          </cell>
          <cell r="BL14">
            <v>2014</v>
          </cell>
          <cell r="BM14">
            <v>2014</v>
          </cell>
          <cell r="BN14">
            <v>2014</v>
          </cell>
          <cell r="BO14">
            <v>2013</v>
          </cell>
          <cell r="BP14">
            <v>2014</v>
          </cell>
          <cell r="BQ14">
            <v>2019</v>
          </cell>
          <cell r="BR14">
            <v>2015</v>
          </cell>
          <cell r="BS14">
            <v>2014</v>
          </cell>
          <cell r="BT14">
            <v>2017</v>
          </cell>
          <cell r="BU14">
            <v>2016</v>
          </cell>
          <cell r="BV14">
            <v>2013</v>
          </cell>
          <cell r="BW14">
            <v>2014</v>
          </cell>
          <cell r="BX14">
            <v>2016</v>
          </cell>
          <cell r="BY14">
            <v>2015</v>
          </cell>
          <cell r="BZ14">
            <v>2013</v>
          </cell>
          <cell r="CA14">
            <v>2015</v>
          </cell>
          <cell r="CB14">
            <v>2015</v>
          </cell>
          <cell r="CC14">
            <v>2013</v>
          </cell>
        </row>
        <row r="15">
          <cell r="A15" t="str">
            <v>produktion</v>
          </cell>
          <cell r="B15" t="str">
            <v>Produktion</v>
          </cell>
          <cell r="C15"/>
          <cell r="D15" t="str">
            <v>Peacock Film AG</v>
          </cell>
          <cell r="E15" t="str">
            <v>Maximage</v>
          </cell>
          <cell r="F15" t="str">
            <v>Zodiac Pictures Ltd</v>
          </cell>
          <cell r="G15" t="str">
            <v>Ventura Film SA</v>
          </cell>
          <cell r="H15" t="str">
            <v>Hugofilm Productions GmbH</v>
          </cell>
          <cell r="I15" t="str">
            <v>ican films GmbH</v>
          </cell>
          <cell r="J15" t="str">
            <v>Maximage</v>
          </cell>
          <cell r="K15" t="str">
            <v>Filmformat GmbH</v>
          </cell>
          <cell r="L15" t="str">
            <v>Frédéric Gonseth Production</v>
          </cell>
          <cell r="M15" t="str">
            <v>Cab Productions SA</v>
          </cell>
          <cell r="N15" t="str">
            <v>Intermezzo Films SA</v>
          </cell>
          <cell r="O15" t="str">
            <v>Mira Film GmbH</v>
          </cell>
          <cell r="P15" t="str">
            <v>8horses GmbH</v>
          </cell>
          <cell r="Q15" t="str">
            <v>Hugofilm Productions GmbH</v>
          </cell>
          <cell r="R15" t="str">
            <v>Cab Productions SA</v>
          </cell>
          <cell r="S15" t="str">
            <v>Bord Cadre films Sàrl</v>
          </cell>
          <cell r="T15" t="str">
            <v>Mesch &amp; Ugge AG</v>
          </cell>
          <cell r="U15" t="str">
            <v>T&amp;C Film AG</v>
          </cell>
          <cell r="V15" t="str">
            <v>Dschoint Ventschr Filmproduktion AG</v>
          </cell>
          <cell r="W15" t="str">
            <v>C-FILMS AG</v>
          </cell>
          <cell r="X15" t="str">
            <v>C-FILMS AG</v>
          </cell>
          <cell r="Y15" t="str">
            <v>CONTRAST FILM Zürich GmbH</v>
          </cell>
          <cell r="Z15" t="str">
            <v>Dschoint Ventschr Filmproduktion AG</v>
          </cell>
          <cell r="AA15" t="str">
            <v>Hugofilm Productions GmbH</v>
          </cell>
          <cell r="AB15" t="str">
            <v>PCT cinéma télévision SA</v>
          </cell>
          <cell r="AC15" t="str">
            <v>Lichtblick Film- und Fernsehproduktion</v>
          </cell>
          <cell r="AD15" t="str">
            <v>Maximage</v>
          </cell>
          <cell r="AE15" t="str">
            <v>Tre Valli Filmproduktion</v>
          </cell>
          <cell r="AF15" t="str">
            <v>Mira Film GmbH</v>
          </cell>
          <cell r="AG15" t="str">
            <v>Rita Productions</v>
          </cell>
          <cell r="AH15" t="str">
            <v>Bernard Lang AG Film- und Fernsehproduktion</v>
          </cell>
          <cell r="AI15" t="str">
            <v>Maximage</v>
          </cell>
          <cell r="AJ15" t="str">
            <v>POINT PROD' SA</v>
          </cell>
          <cell r="AK15" t="str">
            <v>Dschoint Ventschr Filmproduktion AG</v>
          </cell>
          <cell r="AL15" t="str">
            <v>ALOCO GmbH</v>
          </cell>
          <cell r="AM15" t="str">
            <v>soap factory GmbH</v>
          </cell>
          <cell r="AN15" t="str">
            <v>Amka Films Productions SA</v>
          </cell>
          <cell r="AO15" t="str">
            <v>Lea Produktion</v>
          </cell>
          <cell r="AP15" t="str">
            <v>Maximage</v>
          </cell>
          <cell r="AQ15" t="str">
            <v>CLOSE UP FILMS Sàrl</v>
          </cell>
          <cell r="AR15" t="str">
            <v>Maximage</v>
          </cell>
          <cell r="AS15" t="str">
            <v>Climage</v>
          </cell>
          <cell r="AT15" t="str">
            <v>Vega Film AG</v>
          </cell>
          <cell r="AU15" t="str">
            <v>Les Productions JMH</v>
          </cell>
          <cell r="AV15" t="str">
            <v>Amka Films Productions SA</v>
          </cell>
          <cell r="AW15" t="str">
            <v>Mascha Film</v>
          </cell>
          <cell r="AX15" t="str">
            <v>ZAS Film</v>
          </cell>
          <cell r="AY15" t="str">
            <v>Inmagine SA</v>
          </cell>
          <cell r="AZ15" t="str">
            <v>Rita Productions</v>
          </cell>
          <cell r="BA15" t="str">
            <v>TIPI'MAGES PRODUCTIONS Sàrl</v>
          </cell>
          <cell r="BB15" t="str">
            <v>Earthling Productions</v>
          </cell>
          <cell r="BC15" t="str">
            <v>POINT PROD' SA</v>
          </cell>
          <cell r="BD15" t="str">
            <v>Amka Films Productions SA</v>
          </cell>
          <cell r="BE15" t="str">
            <v>Vega Film AG</v>
          </cell>
          <cell r="BF15" t="str">
            <v>Okofilm Productions GmbH</v>
          </cell>
          <cell r="BG15" t="str">
            <v>Ventura Film SA</v>
          </cell>
          <cell r="BH15" t="str">
            <v>P.S. Productions Sàrl</v>
          </cell>
          <cell r="BI15" t="str">
            <v>Biograph Film</v>
          </cell>
          <cell r="BJ15" t="str">
            <v>Leafbird Films GmbH</v>
          </cell>
          <cell r="BK15" t="str">
            <v>C-FILMS AG</v>
          </cell>
          <cell r="BL15" t="str">
            <v>Gachot Films</v>
          </cell>
          <cell r="BM15" t="str">
            <v>Alva Film Production Sàrl</v>
          </cell>
          <cell r="BN15" t="str">
            <v>Box Productions Sàrl</v>
          </cell>
          <cell r="BO15" t="str">
            <v>Casa Azul Films</v>
          </cell>
          <cell r="BP15" t="str">
            <v>Spotlight media productions AG</v>
          </cell>
          <cell r="BQ15" t="str">
            <v>Dschoint Ventschr Filmproduktion AG</v>
          </cell>
          <cell r="BR15" t="str">
            <v>IDIP Films Sàrl</v>
          </cell>
          <cell r="BS15" t="str">
            <v>Ventura Film SA</v>
          </cell>
          <cell r="BT15" t="str">
            <v>Cirque de Loin GmbH</v>
          </cell>
          <cell r="BU15" t="str">
            <v>Ariadnefilm GmbH</v>
          </cell>
          <cell r="BV15" t="str">
            <v>Les Productions JMH</v>
          </cell>
          <cell r="BW15" t="str">
            <v>Mira Film GmbH</v>
          </cell>
          <cell r="BX15" t="str">
            <v>Container TV AG für Film- und Fernsehproduktion</v>
          </cell>
          <cell r="BY15" t="str">
            <v>soap factory GmbH</v>
          </cell>
          <cell r="BZ15" t="str">
            <v>Zodiac Pictures Ltd</v>
          </cell>
          <cell r="CA15" t="str">
            <v>Peacock Film AG</v>
          </cell>
          <cell r="CB15" t="str">
            <v>Bord Cadre films Sàrl</v>
          </cell>
          <cell r="CC15" t="str">
            <v>go between films GmbH</v>
          </cell>
        </row>
        <row r="16">
          <cell r="A16" t="str">
            <v>regie</v>
          </cell>
          <cell r="B16" t="str">
            <v>Regie</v>
          </cell>
          <cell r="C16"/>
          <cell r="D16" t="str">
            <v>Rolando Colla</v>
          </cell>
          <cell r="E16" t="str">
            <v>Nicolas Steiner</v>
          </cell>
          <cell r="F16" t="str">
            <v>Oliver Rihs</v>
          </cell>
          <cell r="G16" t="str">
            <v>Christoph Kühn</v>
          </cell>
          <cell r="H16" t="str">
            <v>Tobias Nölle</v>
          </cell>
          <cell r="I16" t="str">
            <v>Aya Domenig</v>
          </cell>
          <cell r="J16" t="str">
            <v>Markus Imboden</v>
          </cell>
          <cell r="K16" t="str">
            <v>Matthias Affolter</v>
          </cell>
          <cell r="L16" t="str">
            <v>Frédéric Gonseth, Catherine Azad</v>
          </cell>
          <cell r="M16" t="str">
            <v>Bruno Deville</v>
          </cell>
          <cell r="N16" t="str">
            <v>Stéphanie Barbey, Luc Peter</v>
          </cell>
          <cell r="O16" t="str">
            <v>Pierre-François Sauter</v>
          </cell>
          <cell r="P16" t="str">
            <v>Lorenz Merz</v>
          </cell>
          <cell r="Q16" t="str">
            <v>Simon Jaquemet</v>
          </cell>
          <cell r="R16" t="str">
            <v>Olivier Assayas</v>
          </cell>
          <cell r="S16" t="str">
            <v>Laurent Nègre</v>
          </cell>
          <cell r="T16" t="str">
            <v>Felice Zenoni</v>
          </cell>
          <cell r="U16" t="str">
            <v>Belinda Sallin</v>
          </cell>
          <cell r="V16" t="str">
            <v>Miriam Jakobs, Gerhard Schick</v>
          </cell>
          <cell r="W16" t="str">
            <v>Sabine Boss</v>
          </cell>
          <cell r="X16" t="str">
            <v>Ralf Hüttner</v>
          </cell>
          <cell r="Y16" t="str">
            <v>Stefan Haupt</v>
          </cell>
          <cell r="Z16" t="str">
            <v>Samuel Schwarz, Julian M. Grünthal</v>
          </cell>
          <cell r="AA16" t="str">
            <v>David Ruehm</v>
          </cell>
          <cell r="AB16" t="str">
            <v>Anne Gonthier</v>
          </cell>
          <cell r="AC16" t="str">
            <v>Maurizius Staerkle Drux</v>
          </cell>
          <cell r="AD16" t="str">
            <v>Thomas Isler</v>
          </cell>
          <cell r="AE16" t="str">
            <v>Fosco Dubini</v>
          </cell>
          <cell r="AF16" t="str">
            <v>Edgar Hagen</v>
          </cell>
          <cell r="AG16" t="str">
            <v>Daniel Schweizer</v>
          </cell>
          <cell r="AH16" t="str">
            <v>Karim Patwa</v>
          </cell>
          <cell r="AI16" t="str">
            <v>Jan Gassmann</v>
          </cell>
          <cell r="AJ16" t="str">
            <v xml:space="preserve">Pierre Morath </v>
          </cell>
          <cell r="AK16" t="str">
            <v>Jihane Chouaib</v>
          </cell>
          <cell r="AL16" t="str">
            <v>Verena Endtner</v>
          </cell>
          <cell r="AM16" t="str">
            <v>Nicola Bellucci</v>
          </cell>
          <cell r="AN16" t="str">
            <v>Philippe Aractingi</v>
          </cell>
          <cell r="AO16" t="str">
            <v>Richard Dindo</v>
          </cell>
          <cell r="AP16" t="str">
            <v>Stefan Schwietert</v>
          </cell>
          <cell r="AQ16" t="str">
            <v>Benoît Rossel</v>
          </cell>
          <cell r="AR16" t="str">
            <v>Esen Isik</v>
          </cell>
          <cell r="AS16" t="str">
            <v>Fernand Melgar</v>
          </cell>
          <cell r="AT16" t="str">
            <v>Arnaud Larrieu</v>
          </cell>
          <cell r="AU16" t="str">
            <v>Janine Waeber, Carole Pirker</v>
          </cell>
          <cell r="AV16" t="str">
            <v>Mohammed Soudani</v>
          </cell>
          <cell r="AW16" t="str">
            <v>Jens Schanze</v>
          </cell>
          <cell r="AX16" t="str">
            <v>Sandra Vannucchi</v>
          </cell>
          <cell r="AY16" t="str">
            <v>Alberto Meroni</v>
          </cell>
          <cell r="AZ16" t="str">
            <v>Xavier Beauvois</v>
          </cell>
          <cell r="BA16" t="str">
            <v>Lila Ribi</v>
          </cell>
          <cell r="BB16" t="str">
            <v xml:space="preserve">Gabriel Tejedor, Enrico Pizzolato </v>
          </cell>
          <cell r="BC16" t="str">
            <v>Jacques Sarasin</v>
          </cell>
          <cell r="BD16" t="str">
            <v>Alice Rohrwacher</v>
          </cell>
          <cell r="BE16" t="str">
            <v>Fredi M. Murer</v>
          </cell>
          <cell r="BF16" t="str">
            <v>Jasmila Žbanic</v>
          </cell>
          <cell r="BG16" t="str">
            <v>Philip Gröning</v>
          </cell>
          <cell r="BH16" t="str">
            <v>Hubert Toint</v>
          </cell>
          <cell r="BI16" t="str">
            <v>Norbert Wiedmer, Enrique Ros</v>
          </cell>
          <cell r="BJ16" t="str">
            <v>Farida Pacha</v>
          </cell>
          <cell r="BK16" t="str">
            <v>Bille August</v>
          </cell>
          <cell r="BL16" t="str">
            <v>Georges Gachot</v>
          </cell>
          <cell r="BM16" t="str">
            <v>Heidi Hassan</v>
          </cell>
          <cell r="BN16" t="str">
            <v>Mathieu Urfer</v>
          </cell>
          <cell r="BO16" t="str">
            <v>Pippo Delbono</v>
          </cell>
          <cell r="BP16" t="str">
            <v>Peter Luisi</v>
          </cell>
          <cell r="BQ16" t="str">
            <v>David Vogel</v>
          </cell>
          <cell r="BR16" t="str">
            <v>Christophe Chiesa</v>
          </cell>
          <cell r="BS16" t="str">
            <v>Mathias Hauser</v>
          </cell>
          <cell r="BT16" t="str">
            <v>Michael Finger</v>
          </cell>
          <cell r="BU16" t="str">
            <v>Erich Schmid</v>
          </cell>
          <cell r="BV16" t="str">
            <v>Frédéric Baillif</v>
          </cell>
          <cell r="BW16" t="str">
            <v>Marc Schmidt</v>
          </cell>
          <cell r="BX16" t="str">
            <v>Jürg Neuenschwander</v>
          </cell>
          <cell r="BY16" t="str">
            <v>Angelo A. Lüdin</v>
          </cell>
          <cell r="BZ16" t="str">
            <v>Petra Volpe</v>
          </cell>
          <cell r="CA16" t="str">
            <v>Claudia Lorenz</v>
          </cell>
          <cell r="CB16" t="str">
            <v>Laura Bispuri</v>
          </cell>
          <cell r="CC16" t="str">
            <v>Luc Schaedler</v>
          </cell>
        </row>
        <row r="17">
          <cell r="A17" t="str">
            <v>budget</v>
          </cell>
          <cell r="B17" t="str">
            <v>Gesamtkosten</v>
          </cell>
          <cell r="C17">
            <v>124936890.55000001</v>
          </cell>
          <cell r="D17">
            <v>3070010</v>
          </cell>
          <cell r="E17">
            <v>329864</v>
          </cell>
          <cell r="F17">
            <v>2690954</v>
          </cell>
          <cell r="G17">
            <v>300000</v>
          </cell>
          <cell r="H17">
            <v>2219788</v>
          </cell>
          <cell r="I17">
            <v>713271</v>
          </cell>
          <cell r="J17">
            <v>2851573</v>
          </cell>
          <cell r="K17">
            <v>360000</v>
          </cell>
          <cell r="L17">
            <v>552860</v>
          </cell>
          <cell r="M17">
            <v>4133875</v>
          </cell>
          <cell r="N17">
            <v>874035</v>
          </cell>
          <cell r="O17">
            <v>556138</v>
          </cell>
          <cell r="P17">
            <v>282500</v>
          </cell>
          <cell r="Q17">
            <v>1952913</v>
          </cell>
          <cell r="R17">
            <v>6211699</v>
          </cell>
          <cell r="S17">
            <v>983443</v>
          </cell>
          <cell r="T17">
            <v>789781</v>
          </cell>
          <cell r="U17">
            <v>500000</v>
          </cell>
          <cell r="V17">
            <v>579281</v>
          </cell>
          <cell r="W17">
            <v>2674587</v>
          </cell>
          <cell r="X17">
            <v>5122000</v>
          </cell>
          <cell r="Y17">
            <v>1881554</v>
          </cell>
          <cell r="Z17">
            <v>2980000</v>
          </cell>
          <cell r="AA17">
            <v>3711729</v>
          </cell>
          <cell r="AB17">
            <v>1634125</v>
          </cell>
          <cell r="AC17">
            <v>489497</v>
          </cell>
          <cell r="AD17">
            <v>505000</v>
          </cell>
          <cell r="AE17">
            <v>1024500</v>
          </cell>
          <cell r="AF17">
            <v>1122710</v>
          </cell>
          <cell r="AG17">
            <v>1065390</v>
          </cell>
          <cell r="AH17">
            <v>1690576</v>
          </cell>
          <cell r="AI17">
            <v>377571</v>
          </cell>
          <cell r="AJ17">
            <v>1401254</v>
          </cell>
          <cell r="AK17">
            <v>151877</v>
          </cell>
          <cell r="AL17">
            <v>250000</v>
          </cell>
          <cell r="AM17">
            <v>445776</v>
          </cell>
          <cell r="AN17">
            <v>330000</v>
          </cell>
          <cell r="AO17">
            <v>484750</v>
          </cell>
          <cell r="AP17">
            <v>974552</v>
          </cell>
          <cell r="AQ17">
            <v>390509</v>
          </cell>
          <cell r="AR17">
            <v>1246124</v>
          </cell>
          <cell r="AS17">
            <v>696276</v>
          </cell>
          <cell r="AT17">
            <v>7095401</v>
          </cell>
          <cell r="AU17">
            <v>457800</v>
          </cell>
          <cell r="AV17">
            <v>1744852</v>
          </cell>
          <cell r="AW17">
            <v>836400</v>
          </cell>
          <cell r="AX17">
            <v>509268</v>
          </cell>
          <cell r="AY17">
            <v>549977</v>
          </cell>
          <cell r="AZ17">
            <v>9591895</v>
          </cell>
          <cell r="BA17">
            <v>325200</v>
          </cell>
          <cell r="BB17">
            <v>187283</v>
          </cell>
          <cell r="BC17">
            <v>719800</v>
          </cell>
          <cell r="BD17">
            <v>3039746.4</v>
          </cell>
          <cell r="BE17">
            <v>3211424</v>
          </cell>
          <cell r="BF17">
            <v>2853114</v>
          </cell>
          <cell r="BG17">
            <v>3750000</v>
          </cell>
          <cell r="BH17">
            <v>3360798</v>
          </cell>
          <cell r="BI17">
            <v>523845</v>
          </cell>
          <cell r="BJ17">
            <v>283442</v>
          </cell>
          <cell r="BK17">
            <v>11148425</v>
          </cell>
          <cell r="BL17">
            <v>125000</v>
          </cell>
          <cell r="BM17">
            <v>113092</v>
          </cell>
          <cell r="BN17">
            <v>1905061.15</v>
          </cell>
          <cell r="BO17">
            <v>125000</v>
          </cell>
          <cell r="BP17">
            <v>500000</v>
          </cell>
          <cell r="BQ17">
            <v>470924</v>
          </cell>
          <cell r="BR17">
            <v>381000</v>
          </cell>
          <cell r="BS17">
            <v>1669560</v>
          </cell>
          <cell r="BT17">
            <v>966284</v>
          </cell>
          <cell r="BU17">
            <v>538264</v>
          </cell>
          <cell r="BV17">
            <v>150000</v>
          </cell>
          <cell r="BW17">
            <v>442188</v>
          </cell>
          <cell r="BX17">
            <v>796202</v>
          </cell>
          <cell r="BY17">
            <v>436461</v>
          </cell>
          <cell r="BZ17">
            <v>1733184</v>
          </cell>
          <cell r="CA17">
            <v>1449295</v>
          </cell>
          <cell r="CB17">
            <v>1571299</v>
          </cell>
          <cell r="CC17">
            <v>773064</v>
          </cell>
        </row>
        <row r="18">
          <cell r="A18" t="str">
            <v>k</v>
          </cell>
          <cell r="B18" t="str">
            <v>Kontrolle</v>
          </cell>
          <cell r="C18"/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  <cell r="CC18">
            <v>0</v>
          </cell>
        </row>
        <row r="19">
          <cell r="A19" t="str">
            <v>chbudget</v>
          </cell>
          <cell r="B19" t="str">
            <v>Schweiz CHF</v>
          </cell>
          <cell r="C19">
            <v>73444506.799999997</v>
          </cell>
          <cell r="D19">
            <v>2454961</v>
          </cell>
          <cell r="E19">
            <v>164932</v>
          </cell>
          <cell r="F19">
            <v>2690954</v>
          </cell>
          <cell r="G19">
            <v>299971</v>
          </cell>
          <cell r="H19">
            <v>2219788</v>
          </cell>
          <cell r="I19">
            <v>709071</v>
          </cell>
          <cell r="J19">
            <v>2516500</v>
          </cell>
          <cell r="K19">
            <v>360000</v>
          </cell>
          <cell r="L19">
            <v>552860</v>
          </cell>
          <cell r="M19">
            <v>2673503</v>
          </cell>
          <cell r="N19">
            <v>874035</v>
          </cell>
          <cell r="O19">
            <v>556138</v>
          </cell>
          <cell r="P19">
            <v>282500</v>
          </cell>
          <cell r="Q19">
            <v>1952913</v>
          </cell>
          <cell r="R19">
            <v>736000</v>
          </cell>
          <cell r="S19">
            <v>983443</v>
          </cell>
          <cell r="T19">
            <v>789781</v>
          </cell>
          <cell r="U19">
            <v>500000</v>
          </cell>
          <cell r="V19">
            <v>155757</v>
          </cell>
          <cell r="W19">
            <v>2674587</v>
          </cell>
          <cell r="X19">
            <v>1280500</v>
          </cell>
          <cell r="Y19">
            <v>1881554</v>
          </cell>
          <cell r="Z19">
            <v>1780238</v>
          </cell>
          <cell r="AA19">
            <v>622000</v>
          </cell>
          <cell r="AB19">
            <v>1634125</v>
          </cell>
          <cell r="AC19">
            <v>161704</v>
          </cell>
          <cell r="AD19">
            <v>505000</v>
          </cell>
          <cell r="AE19">
            <v>409867</v>
          </cell>
          <cell r="AF19">
            <v>1122710</v>
          </cell>
          <cell r="AG19">
            <v>1065390</v>
          </cell>
          <cell r="AH19">
            <v>1690576</v>
          </cell>
          <cell r="AI19">
            <v>247335</v>
          </cell>
          <cell r="AJ19">
            <v>771927</v>
          </cell>
          <cell r="AK19">
            <v>151877</v>
          </cell>
          <cell r="AL19">
            <v>250000</v>
          </cell>
          <cell r="AM19">
            <v>445776</v>
          </cell>
          <cell r="AN19">
            <v>100000</v>
          </cell>
          <cell r="AO19">
            <v>484800</v>
          </cell>
          <cell r="AP19">
            <v>639546</v>
          </cell>
          <cell r="AQ19">
            <v>267856</v>
          </cell>
          <cell r="AR19">
            <v>1246124</v>
          </cell>
          <cell r="AS19">
            <v>696276</v>
          </cell>
          <cell r="AT19">
            <v>797681</v>
          </cell>
          <cell r="AU19">
            <v>457800</v>
          </cell>
          <cell r="AV19">
            <v>1744852</v>
          </cell>
          <cell r="AW19">
            <v>250920</v>
          </cell>
          <cell r="AX19">
            <v>127300</v>
          </cell>
          <cell r="AY19">
            <v>550076</v>
          </cell>
          <cell r="AZ19">
            <v>2117944</v>
          </cell>
          <cell r="BA19">
            <v>325200</v>
          </cell>
          <cell r="BB19">
            <v>187283</v>
          </cell>
          <cell r="BC19">
            <v>719800</v>
          </cell>
          <cell r="BD19">
            <v>456880.8</v>
          </cell>
          <cell r="BE19">
            <v>3211424</v>
          </cell>
          <cell r="BF19">
            <v>290400</v>
          </cell>
          <cell r="BG19">
            <v>375000</v>
          </cell>
          <cell r="BH19">
            <v>433656</v>
          </cell>
          <cell r="BI19">
            <v>523845</v>
          </cell>
          <cell r="BJ19">
            <v>283442</v>
          </cell>
          <cell r="BK19">
            <v>2383650</v>
          </cell>
          <cell r="BL19">
            <v>125000</v>
          </cell>
          <cell r="BM19">
            <v>113092</v>
          </cell>
          <cell r="BN19">
            <v>1905061</v>
          </cell>
          <cell r="BO19">
            <v>125000</v>
          </cell>
          <cell r="BP19">
            <v>500000</v>
          </cell>
          <cell r="BQ19">
            <v>470924</v>
          </cell>
          <cell r="BR19">
            <v>381000</v>
          </cell>
          <cell r="BS19">
            <v>1597740</v>
          </cell>
          <cell r="BT19">
            <v>966284</v>
          </cell>
          <cell r="BU19">
            <v>538264</v>
          </cell>
          <cell r="BV19">
            <v>150000</v>
          </cell>
          <cell r="BW19">
            <v>133655</v>
          </cell>
          <cell r="BX19">
            <v>796202</v>
          </cell>
          <cell r="BY19">
            <v>436461</v>
          </cell>
          <cell r="BZ19">
            <v>1398384</v>
          </cell>
          <cell r="CA19">
            <v>1449295</v>
          </cell>
          <cell r="CB19">
            <v>233019</v>
          </cell>
          <cell r="CC19">
            <v>766564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en"/>
      <sheetName val="Kontrolliste"/>
      <sheetName val="Indikatoren"/>
      <sheetName val="Header"/>
      <sheetName val="Serialize"/>
      <sheetName val="SuccesListe"/>
      <sheetName val="BoxOffice"/>
      <sheetName val="Festivals"/>
      <sheetName val="Temps"/>
      <sheetName val="fiss"/>
    </sheetNames>
    <sheetDataSet>
      <sheetData sheetId="0"/>
      <sheetData sheetId="1"/>
      <sheetData sheetId="2"/>
      <sheetData sheetId="3">
        <row r="1">
          <cell r="A1" t="str">
            <v>id::ok::suisa::title::genre::type::sex::upcoming::lang::kanton::yearprod::yearrelease::produktion::regie::budget::k::chbudget _x000D_
id8::::1013.066::Closer to God::D::CH::X::ja::de::BE::2016::2018::DokWerkstatt Bern::Annette Berg, Lars Barthel::50000::0::50000 _x000D_
id40::::1012.504::L'inclinaison des chapeaux::D::CH::M::ja::fr::GE::2016::2017::IDIP Films Sàrl::Antonin Schopfer, Thomas Szczepanski ::81000::0::81000 _x000D_
id47::::1011.940::Les grandes traversées::D::CH::M::ja::fr::VD::2016::2017::Association Terrain vague::David Maye::125000::0::125000 _x000D_
id2::::1011.192::Alpzyt::D::CH::M::nein::de::SG::2016::2016::ExtraMile Films GmbH::Thomas Rickenmann::168214::0::168214 _x000D_
id9::::1011.939::Dans le lit du Rhône::D::CH::F::ja::fr::GE::2016::2018::GOLDEN EGG PRODUCTION SARL::Mélanie Pitteloud::175000::0::175000 _x000D_
id51::::1013.342::Madame::D::CH::M::ja::fr::GE::2016::2019::Lambda Prod::Stéphane Riethauser::178908::0::178908 _x000D_
id64::::1014.275::W::D::CH::M::nein::de::ZH::2016::2020::Peacock Film AG::Rolando Colla::200000::0::200000 _x000D_
id39::::1012.664::L'île sans rivages::D::CH::F::ja::fr::GE::2016::2018::CLOSE UP FILMS Sàrl::Caroline Cuénod::225362::0::225361 _x000D_
id19::::1013.157::Digital Curry::D::CH::X::nein::fr::FR::2016::2019::DOK Mobile::Mark Olexa, Francesca Scalisi::247235::0::247253 _x000D_
id4::::1012.856::Being With Animals (aka Animals Around Us)::D::CH::F::nein::de::ZH::2016::2018::Settebello Filmproduktion::Salome Pitschen ::263320::0::263320 _x000D_
id36::::1013.065::Jazz The Only Way Of Life::D::CH::M::ja::fr::NE::2016::2018::Pi Production::Jacques Matthey::290412::0::290412 _x000D_
id50::::1011.321::Loves me, loves me not::D::CH::F::nein::fr::GE::2016::2016::METALproductions::Fabienne Abramovich ::301859::0::301858 _x000D_
id54::::1015.868::Pushing Boundaries::D::CH::F::ja::de::ZH::2016::2021::Dschoint Ventschr Filmproduktion AG::Lesia Kordonets::320223::0::320223 _x000D_
id12::::swissfilms::Deltas, retours aux rivages::D::CH::M::nein::fr::GE::2016::2016::Intermezzo Films SA::Charlie Petersmann ::334481::0::334481 _x000D_
id61::::1013.976::Unter einem Dach (aka Welcome To My Home)::D::CH::F::ja::de::ZH::2016::2020::Mira Film GmbH::Maria Müller::354308::0::354308 _x000D_
id33::::swissfilms::Im Land meiner Kinder (aka Deutsch werden)::D::MIN::M::nein::de::ZH::2016::2018::RECK Filmproduktion GmbH::Dario Aguirre::375386::0::60537.4 _x000D_
id22::::1012.948::Energiepioniere (aka Das Energiewunder)::D::CH::M::ja::de::BE::2016::2018::Lomotion AG::Stefan Samuel::398015::0::398015 _x000D_
id14::::1012.259::Des moutons et des hommes (aka Agnus Dei)::D::CH::M::ja::fr::GE::2016::2018::CLOSE UP FILMS Sàrl::Karim Sayad::411011::0::411011 _x000D_
id49::::1012.555::Rudolf Häsler - odisea de una vida (aka Los Häsler)::D::CH::M::ja::de::BE::2016::2018::Kikeproductions::Enrique Ros::416800::0::416800 _x000D_
id53::::nein::Pietrapaola::D::CH::M::ja::it::TI::2016::::Cinédokké Sagl::Daniel Stadelmann::424097::0::424097 _x000D_
id48::::1012.673::Los fantasmes del Caribe::D::CH::M::ja::fr::GE::2016::2018::Adokfilms sàrl::Felipe Monroy ::427365::0::300037 _x000D_
id1::::1012.121::Adieu à l'Afrique::D::CH::M::nein::fr::JU::2016::2018::Prince Film SA::Pierre-Alain Meier::479200::0::479200 _x000D_
id35::::nein::Intimate Stranger ::D::CH::M::ja::it::ZH::2016::::C-FILMS AG::Michele Cingliano::482814::0::482814 _x000D_
id38::::1013.691::L'île aux oiseau (Milan noir)::D::CH::X::nein::fr::GE::2016::2019::CLOSE UP FILMS Sàrl::Sergio da Costa, Maya Kosa::505000::0::505000 _x000D_
id63::::1013.711::Von der Rolle::D::CH::F::ja::de::BE::2016::2019::ALOCO GmbH::Verena Endtner::512944::0::513034 _x000D_
id37::::1013.484::Je ne te voyais pas (aka Intérieur prison)::D::CH::M::nein::fr::FR::2016::2016::P.S. Productions Sàrl::François Kohler::519002::0::519002 _x000D_
id18::::1012.384::Die vierte Gewalt::D::CH::M::nein::de::BE::2016::2018::Balzli &amp; Fahrer::Dieter Fahrer::589388::0::589388 _x000D_
id21::::1012.106::Encordés::D::CH::M::nein::de::BE::2016::2017::Lomotion AG::Frédéric Favre::608770::0::608770 _x000D_
id67::::1012.104::Willkommen in der Schweiz::D::CH::F::nein::de::ZH::2016::2017::Dschoint Ventschr Filmproduktion AG::Sabine Gisiger::626965::0::626965 _x000D_
id7::::1012.042::Burning Out::D::MIN::M::nein::fr::VD::2016::2017::Louise Productions Lausanne::Jerôme le Maire::632659::0::161247 _x000D_
id20::::1012.861::Eisenberger::D::CH::M::nein::de::ZH::2016::2019::Mira Film GmbH::Hercli Bundi::668043::0::668043 _x000D_
id34::::1012.879::Immer und ewig::D::CH::F::nein::de::ZH::2016::2019::Hugofilm Productions GmbH::Fanny Bräuning::680000::0::680000 _x000D_
id11::::1011.456::Das Mädchen vom Änziloch::D::CH::F::nein::de::ZH::2016::2017::Ciné A.S.::Alice Schmid::751419::0::751419 _x000D_
id42::::1012.281::La fureur de voir::D::CH::M::nein::fr::VD::2016::2017::Bande à part Films Sàrl::Manuel von Sturler::770975::0::770975 _x000D_
id45::::1013.016::Le voyage de Basho::D::CH::M::nein::fr::VS::2016::2019::PCT cinéma télévision SA::Richard Dindo::772520::0::772520 _x000D_
id66::::1013.514::Wer sind wir (aka Durch die Wand)::D::CH::M::nein::de::ZH::2016::2020::Cineworx Filmproduktion GmbH::Edgar Hagen::784600::0::784600 _x000D_
id44::::1012.895::Les dépossédés (aka Le paradoxe de la faim)::D::MIN::M::nein::fr::ZH::2016::2018::Mira Film GmbH::Mathieu Roy ::799370::0::186454 _x000D_
id28::::1011.980::Ghost Hunting (La chasse aux fantômes)::D::MIN::M::nein::fr::GE::2016::2017::AKKA Films Sàrl::Raed Andoni ::868027::0::192047 _x000D_
id27::::1012.650::Genesis 2.0::D::CH::M::nein::de::ZH::2016::2018::Christian Frei Filmproduktion GmbH::Christian Frei::989530::0::989530 _x000D_
id43::::1012.044::Lasst die Alten sterben::F::CH::M::ja::de::BE::2016::2017::Lomotion AG::Juri Steinhart ::1060253::0::1060253 _x000D_
id57::::1013.784::Sekuritas::F::CH::F::ja::de::ZH::2016::2019::ABRAKADABRA FILMS AG::Carmen Stadler::1076310::0::1076310 _x000D_
id30::::1011.757::I Am Not Your Negro::D::MIN::M::nein::fr::GE::2016::2016::CLOSE UP FILMS Sàrl::Raoul Peck::1120455::0::111951 _x000D_
id10::::nein::Das Fieber::D::MIN::F::nein::de::ZH::2016::::Bernard Lang AG Film- und Fernsehproduktion::Katharina Weingartner::1301710::0::287592 _x000D_
id56::::1012.347::Sarah joue le loup-garou::F::MAJ::F::ja::fr::GE::2016::2017::Intermezzo Films SA::Katharina Wyss::1356047::0::1192532 _x000D_
id41::::1011.556::L'Opéra de Paris::D::MIN::M::nein::fr::VD::2016::2017::Bande à part Films Sàrl::Jean-Stéphane Bron::1448080::0::369000 _x000D_
id60::::1012.596::Une part d'ombre::F::MIN::M::ja::fr::GE::2016::2017::POINT PROD' SA::Samuel Tilman::1588828::0::171999 _x000D_
id6::::1011.912::Blue My Mind::F::CH::F::ja::de::ZH::2016::2017::Tellfilm GmbH::Lisa Brühlmann::1596976::0::1596976 _x000D_
id55::::1012.998::Rimetti a noi i nostri debiti::F::MIN::M::nein::it::ZH::2016::2018::Peacock Film AG::Antonio Morabito::1987920::0::198792 _x000D_
id13::::1012.213::Der Läufer::F::CH::M::ja::de::BE::2016::2018::CONTRAST FILM Bern GmbH::Hannes Baumgartner::2119799::0::2119799 _x000D_
id3::::1012.517::Autour de Luisa::F::MAJ::F::ja::fr::GE::2016::2017::Alinafilm Sàrl::Olga Baillif::2128509::0::1773759 _x000D_
id65::::swissfilms::Wer hat eigentlich die Liebe erfunden? (aka Monster)::F::MIN::F::ja::de::ZH::2016::2018::Cognito Films GmbH::Kerstin Polte::2353476::0::708500 _x000D_
id23::::1012.274::Et au pire on se mariera::F::MAJ::F::nein::fr::VD::2016::2018::Louise Productions Lausanne::Léa Pool::2369340::0::1111108 _x000D_
id5::::1013.398::Bitter Flowers::F::MIN::M::nein::fr::FR::2016::2019::P.S. Productions Sàrl::Olivier Meys::2383020::0::294361 _x000D_
id62::::1012.572::Vakuum::F::CH::F::ja::de::ZH::2016::2018::Dschoint Ventschr Filmproduktion AG::Christine Repond::2589861::0::2589861 _x000D_
id32::::1012.963::Il mangiatore di pietre::F::MAJ::M::ja::it::ZH::2016::2019::Cineworx Filmproduktion GmbH::Nicola Bellucci::2656676::0::1899872 _x000D_
id17::::1011.672::Die letzte Pointe::F::CH::M::nein::de::ZH::2016::2017::Bernard Lang AG Film- und Fernsehproduktion::Rolf Lyssy::2659272::0::2659272 _x000D_
id29::::1012.707::Glaubenberg::F::CH::M::nein::de::ZH::2016::2018::Okofilm Productions GmbH::Thomas Imbach::2702046::0::2702046 _x000D_
id31::::1012.272::Il colore nascosto delle cose (aka Emma)::F::MIN::M::nein::it::TI::2016::2017::Ventura Film SA::Silvio Soldini::2748611::0::548840 _x000D_
id25::::1011.496::Flitzer (aka Kleider machen Leute)::F::CH::M::nein::de::ZH::2016::2017::Spotlight media productions AG::Peter Luisi::2841491::0::2841491 _x000D_
id26::::1012.218::Fortuna::F::MAJ::M::nein::fr::ZH::2016::2018::Vega Film AG::Germinal Roaux::3147407::0::2533461 _x000D_
id59::::1011.963::Tiere::F::MAJ::M::nein::de::ZH::2016::2017::Tellfilm GmbH::Greg Zglinski::3231761::0::1688780 _x000D_
id15::::1011.184::Die göttliche Ordnung::F::CH::F::nein::de::ZH::2016::2017::Zodiac Pictures Ltd::Petra Volpe::3259390::0::3259390 _x000D_
id24::::1012.296::Fauves (Tiens ta droite)::F::MAJ::M::ja::fr::VD::2016::2018::Box Productions Sàrl::Robin Erard::3319399::0::1960725 _x000D_
id58::::1012.625::Sicilian Ghost Story ::F::MIN::M::ja::it::TI::2016::2017::Ventura Film SA::Fabio Grassadonia, Antonio Piazza::3332933::0::333300 _x000D_
id52::::1011.410::Papa Moll::F::MAJ::M::nein::de::ZH::2016::2017::Zodiac Pictures Ltd::Manuel Flurin Hendry::5594502::0::4395502 _x000D_
id16::::1002.300::Die kleine Hexe::F::MIN::M::nein::de::ZH::2016::2018::Zodiac Pictures Ltd::Michael Schaerer::8555556::0::1305765 _x000D_
id46::::1011.853::Les gardiennes::F::MIN::M::nein::fr::GE::2016::2017::Rita Productions::Xavier Beauvois::9591064::0::960671</v>
          </cell>
        </row>
      </sheetData>
      <sheetData sheetId="4">
        <row r="2">
          <cell r="A2" t="str">
            <v>cat0::chf::id _x000D_
251::165846::id1 _x000D_
312::80000::id1 _x000D_
460::31965::id1 _x000D_
465::80000::id1 _x000D_
510::10000::id1 _x000D_
660::20000::id1 _x000D_
710::80000::id1 _x000D_
730::5000::id1 _x000D_
740::6389::id1 _x000D_
251::44033::id2 _x000D_
254::40000::id2 _x000D_
360::10000::id2 _x000D_
390::14000::id2 _x000D_
660::15000::id2 _x000D_
670::38360::id2 _x000D_
710::1621::id2 _x000D_
740::200::id2 _x000D_
820::5000::id2 _x000D_
120::76000::id3 _x000D_
210::580000::id3 _x000D_
251::91159::id3 _x000D_
311::30000::id3 _x000D_
312::380000::id3 _x000D_
315::232000::id3 _x000D_
390::25000::id3 _x000D_
420::65000::id3 _x000D_
460::70000::id3 _x000D_
470::65000::id3 _x000D_
730::45000::id3 _x000D_
740::45000::id3 _x000D_
801::69600::id3 _x000D_
1920::13750::id3 _x000D_
1925::341000::id3 _x000D_
251::62386::id4 _x000D_
360::20000::id4 _x000D_
420::30000::id4 _x000D_
460::36945::id4 _x000D_
470::30000::id4 _x000D_
710::17469::id4 _x000D_
730::3000::id4 _x000D_
740::5000::id4 _x000D_
801::23520::id4 _x000D_
807::20000::id4 _x000D_
830::15000::id4 _x000D_
110::40459::id5 _x000D_
210::120000::id5 _x000D_
315::15000::id5 _x000D_
420::40000::id5 _x000D_
470::40000::id5 _x000D_
670::10491::id5 _x000D_
710::6004::id5 _x000D_
730::11043::id5 _x000D_
740::11364::id5 _x000D_
1911::153731::id5 _x000D_
1912::49127::id5 _x000D_
1920::428492::id5 _x000D_
1925::759824::id5 _x000D_
1940::70398::id5 _x000D_
1970::191639::id5 _x000D_
2911::133319::id5 _x000D_
2930::235807::id5 _x000D_
2970::66323::id5 _x000D_
203::30000::id6 _x000D_
210::445000::id6 _x000D_
301::25000::id6 _x000D_
302::370000::id6 _x000D_
420::135000::id6 _x000D_
465::20000::id6 _x000D_
470::135000::id6 _x000D_
510::15000::id6 _x000D_
610::30000::id6 _x000D_
620::189684::id6 _x000D_
690::30000::id6 _x000D_
710::32882::id6 _x000D_
730::20000::id6 _x000D_
740::45798::id6 _x000D_
801::30912::id6 _x000D_
802::25000::id6 _x000D_
805::15000::id6 _x000D_
807::2700::id6 _x000D_
312::14187::id7 _x000D_
315::8000::id7 _x000D_
420::80000::id7 _x000D_
460::20000::id7 _x000D_
620::30000::id7 _x000D_
730::6000::id7 _x000D_
740::3060::id7 _x000D_
1980::184803::id7 _x000D_
2980::286609::id7 _x000D_
420::20000::id8 _x000D_
890::30000::id8 _x000D_
420::70000::id9 _x000D_
890::105000::id9 _x000D_
210::104000::id10 _x000D_
302::75000::id10 _x000D_
420::45000::id10 _x000D_
470::45000::id10 _x000D_
710::15367::id10 _x000D_
820::3225::id10 _x000D_
1920::274194::id10 _x000D_
1925::43487::id10 _x000D_
1930::5376::id10 _x000D_
1940::231183::id10 _x000D_
1970::33789::id10 _x000D_
2920::233030::id10 _x000D_
2925::66667::id10 _x000D_
2940::104009::id10 _x000D_
2970::22481::id10 _x000D_
210::85000::id11 _x000D_
251::213129::id11 _x000D_
302::55000::id11 _x000D_
305::90000::id11 _x000D_
332::50000::id11 _x000D_
370::60000::id11 _x000D_
420::30000::id11 _x000D_
460::46565::id11 _x000D_
470::30000::id11 _x000D_
710::6125::id11 _x000D_
730::5000::id11 _x000D_
740::10000::id11 _x000D_
801::45600::id11 _x000D_
820::25000::id11 _x000D_
251::10000::id12 _x000D_
311::30000::id12 _x000D_
312::80000::id12 _x000D_
430::43000::id12 _x000D_
460::10000::id12 _x000D_
660::14000::id12 _x000D_
670::7800::id12 _x000D_
695::39551::id12 _x000D_
720::18979::id12 _x000D_
730::21151::id12 _x000D_
802::20000::id12 _x000D_
890::40000::id12 _x000D_
120::52000::id13 _x000D_
203::30000::id13 _x000D_
251::142000::id13 _x000D_
301::25000::id13 _x000D_
302::500000::id13 _x000D_
331::25000::id13 _x000D_
332::700000::id13 _x000D_
380::50000::id13 _x000D_
420::280000::id13 _x000D_
460::106000::id13 _x000D_
484::80000::id13 _x000D_
510::20000::id13 _x000D_
660::10000::id13 _x000D_
730::20000::id13 _x000D_
740::24599::id13 _x000D_
801::55200::id13 _x000D_
210::150000::id14 _x000D_
311::25000::id14 _x000D_
312::90000::id14 _x000D_
315::60000::id14 _x000D_
710::7811::id14 _x000D_
730::15000::id14 _x000D_
740::10000::id14 _x000D_
801::38400::id14 _x000D_
820::14800::id14 _x000D_
120::62500::id15 _x000D_
203::30000::id15 _x000D_
210::900000::id15 _x000D_
251::250000::id15 _x000D_
254::41385::id15 _x000D_
301::40000::id15 _x000D_
302::700000::id15 _x000D_
350::100000::id15 _x000D_
370::85000::id15 _x000D_
380::30000::id15 _x000D_
420::225000::id15 _x000D_
460::100000::id15 _x000D_
470::225000::id15 _x000D_
484::120000::id15 _x000D_
510::100000::id15 _x000D_
710::65::id15 _x000D_
730::50000::id15 _x000D_
740::50000::id15 _x000D_
801::135440::id15 _x000D_
805::15000::id15 _x000D_
210::280000::id16 _x000D_
251::50000::id16 _x000D_
260::244612::id16 _x000D_
302::240000::id16 _x000D_
420::110000::id16 _x000D_
470::110000::id16 _x000D_
484::80000::id16 _x000D_
510::70000::id16 _x000D_
710::60000::id16 _x000D_
730::30577::id16 _x000D_
740::30576::id16 _x000D_
1912::55000::id16 _x000D_
1920::980873::id16 _x000D_
1925::1351209::id16 _x000D_
1930::2134930::id16 _x000D_
1950::2365000::id16 _x000D_
1960::55000::id16 _x000D_
1970::307778::id16 _x000D_
210::880000::id17 _x000D_
251::22176::id17 _x000D_
260::335966::id17 _x000D_
302::650000::id17 _x000D_
420::190000::id17 _x000D_
460::33720::id17 _x000D_
470::190000::id17 _x000D_
484::90000::id17 _x000D_
610::33418::id17 _x000D_
730::30000::id17 _x000D_
740::53992::id17 _x000D_
801::105000::id17 _x000D_
850::45000::id17 _x000D_
203::30000::id18 _x000D_
251::88841::id18 _x000D_
254::33590::id18 _x000D_
255::10000::id18 _x000D_
331::30000::id18 _x000D_
332::180000::id18 _x000D_
410::1798::id18 _x000D_
420::70000::id18 _x000D_
460::15000::id18 _x000D_
660::5800::id18 _x000D_
740::11159::id18 _x000D_
801::43200::id18 _x000D_
820::70000::id18 _x000D_
202::25000::id19 _x000D_
312::80000::id19 _x000D_
650::10000::id19 _x000D_
660::25000::id19 _x000D_
710::3700::id19 _x000D_
730::10000::id19 _x000D_
740::1678::id19 _x000D_
820::22500::id19 _x000D_
830::19375::id19 _x000D_
890::50000::id19 _x000D_
210::150000::id20 _x000D_
251::10000::id20 _x000D_
260::84416::id20 _x000D_
301::25000::id20 _x000D_
302::110000::id20 _x000D_
341::15000::id20 _x000D_
342::120000::id20 _x000D_
420::30000::id20 _x000D_
460::10000::id20 _x000D_
470::30000::id20 _x000D_
720::16443::id20 _x000D_
740::21104::id20 _x000D_
801::46080::id20 _x000D_
203::15000::id21 _x000D_
210::95000::id21 _x000D_
251::6856::id21 _x000D_
312::60000::id21 _x000D_
315::19000::id21 _x000D_
331::15000::id21 _x000D_
332::95000::id21 _x000D_
420::42500::id21 _x000D_
470::170259::id21 _x000D_
510::5000::id21 _x000D_
550::3262::id21 _x000D_
670::5000::id21 _x000D_
720::1138::id21 _x000D_
740::8715::id21 _x000D_
801::47040::id21 _x000D_
830::20000::id21 _x000D_
332::175000::id22 _x000D_
420::10000::id22 _x000D_
460::6210::id22 _x000D_
650::4375::id22 _x000D_
660::30000::id22 _x000D_
720::34890::id22 _x000D_
730::25000::id22 _x000D_
740::12540::id22 _x000D_
830::100000::id22 _x000D_
210::500000::id23 _x000D_
315::200000::id23 _x000D_
420::100000::id23 _x000D_
460::50000::id23 _x000D_
470::100000::id23 _x000D_
510::25000::id23 _x000D_
730::40000::id23 _x000D_
740::29421::id23 _x000D_
801::66687::id23 _x000D_
1920::926413::id23 _x000D_
1925::263673::id23 _x000D_
1950::22874::id23 _x000D_
1970::7148::id23 _x000D_
1980::38124::id23 _x000D_
120::49500::id24 _x000D_
203::30000::id24 _x000D_
210::850000::id24 _x000D_
251::50000::id24 _x000D_
315::350000::id24 _x000D_
410::8000::id24 _x000D_
420::90000::id24 _x000D_
460::50000::id24 _x000D_
470::60000::id24 _x000D_
510::15000::id24 _x000D_
740::74515::id24 _x000D_
801::133710::id24 _x000D_
890::200000::id24 _x000D_
1920::955039::id24 _x000D_
1950::3300::id24 _x000D_
1970::37859::id24 _x000D_
2925::275000::id24 _x000D_
2940::66000::id24 _x000D_
2950::7700::id24 _x000D_
2970::13775::id24 _x000D_
203::25000::id25 _x000D_
210::750000::id25 _x000D_
251::57875::id25 _x000D_
254::15332::id25 _x000D_
255::15332::id25 _x000D_
260::386759::id25 _x000D_
301::15000::id25 _x000D_
302::650000::id25 _x000D_
420::175000::id25 _x000D_
460::21785::id25 _x000D_
470::175000::id25 _x000D_
484::70000::id25 _x000D_
510::75000::id25 _x000D_
710::20758::id25 _x000D_
720::11200::id25 _x000D_
730::30000::id25 _x000D_
740::80000::id25 _x000D_
801::108000::id25 _x000D_
807::11750::id25 _x000D_
830::147700::id25 _x000D_
110::191523::id26 _x000D_
203::60000::id26 _x000D_
210::950000::id26 _x000D_
251::30538::id26 _x000D_
311::30000::id26 _x000D_
312::325000::id26 _x000D_
315::380000::id26 _x000D_
420::300000::id26 _x000D_
460::80000::id26 _x000D_
470::100000::id26 _x000D_
801::86400::id26 _x000D_
1911::103128::id26 _x000D_
1920::109130::id26 _x000D_
1925::289195::id26 _x000D_
1940::32739::id26 _x000D_
1970::79754::id26 _x000D_
203::30000::id27 _x000D_
210::195000::id27 _x000D_
251::66452::id27 _x000D_
253::10000::id27 _x000D_
254::10898::id27 _x000D_
301::25000::id27 _x000D_
302::115000::id27 _x000D_
380::105000::id27 _x000D_
420::60000::id27 _x000D_
430::50000::id27 _x000D_
460::121415::id27 _x000D_
481::148000::id27 _x000D_
650::1988::id27 _x000D_
710::377::id27 _x000D_
801::50400::id27 _x000D_
210::60000::id28 _x000D_
251::10000::id28 _x000D_
312::20000::id28 _x000D_
315::6000::id28 _x000D_
420::30000::id28 _x000D_
460::10000::id28 _x000D_
470::30000::id28 _x000D_
710::26047::id28 _x000D_
1920::131047::id28 _x000D_
1925::5460::id28 _x000D_
1930::13105::id28 _x000D_
1940::240251::id28 _x000D_
1955::21841::id28 _x000D_
1960::34946::id28 _x000D_
1970::99226::id28 _x000D_
1980::130105::id28 _x000D_
120::55000::id29 _x000D_
210::680000::id29 _x000D_
251::146339::id29 _x000D_
260::362624::id29 _x000D_
301::55000::id29 _x000D_
302::500000::id29 _x000D_
420::125000::id29 _x000D_
460::100000::id29 _x000D_
470::125000::id29 _x000D_
710::30886::id29 _x000D_
730::45000::id29 _x000D_
740::92536::id29 _x000D_
801::99600::id29 _x000D_
805::15000::id29 _x000D_
807::16500::id29 _x000D_
880::253561::id29 _x000D_
315::6000::id30 _x000D_
316::1500::id30 _x000D_
420::60000::id30 _x000D_
550::3226::id30 _x000D_
710::31925::id30 _x000D_
730::6000::id30 _x000D_
740::3300::id30 _x000D_
1980::869984::id30 _x000D_
2980::138520::id30 _x000D_
251::58840::id31 _x000D_
420::175000::id31 _x000D_
460::50000::id31 _x000D_
470::175000::id31 _x000D_
510::50000::id31 _x000D_
890::40000::id31 _x000D_
1920::275000::id31 _x000D_
1925::401245::id31 _x000D_
1940::880000::id31 _x000D_
1950::550000::id31 _x000D_
1960::93525::id31 _x000D_
210::600000::id32 _x000D_
251::15000::id32 _x000D_
260::236808::id32 _x000D_
301::300000::id32 _x000D_
341::200000::id32 _x000D_
420::270000::id32 _x000D_
460::20000::id32 _x000D_
470::80000::id32 _x000D_
510::20000::id32 _x000D_
660::10000::id32 _x000D_
730::20000::id32 _x000D_
740::84864::id32 _x000D_
801::43200::id32 _x000D_
1920::220000::id32 _x000D_
1925::166500::id32 _x000D_
1930::22000::id32 _x000D_
1940::308000::id32 _x000D_
1970::40304::id32 _x000D_
302::35237.4::id33 _x000D_
710::25300::id33 _x000D_
1920::88000::id33 _x000D_
1930::99000::id33 _x000D_
1940::79800.6::id33 _x000D_
1960::24750::id33 _x000D_
1970::23296.9::id33 _x000D_
120::20000::id34 _x000D_
210::120000::id34 _x000D_
251::8976::id34 _x000D_
254::21024::id34 _x000D_
255::8000::id34 _x000D_
260::65100::id34 _x000D_
301::20000::id34 _x000D_
302::110000::id34 _x000D_
305::40000::id34 _x000D_
341::10000::id34 _x000D_
342::70000::id34 _x000D_
420::50000::id34 _x000D_
460::12625::id34 _x000D_
470::50000::id34 _x000D_
740::16275::id34 _x000D_
801::58000::id34 _x000D_
203::18000::id35 _x000D_
210::150000::id35 _x000D_
251::25000::id35 _x000D_
301::18000::id35 _x000D_
302::100000::id35 _x000D_
305::22000::id35 _x000D_
420::35000::id35 _x000D_
460::5000::id35 _x000D_
470::35000::id35 _x000D_
510::15000::id35 _x000D_
730::3000::id35 _x000D_
740::5014::id35 _x000D_
801::16800::id35 _x000D_
830::35000::id35 _x000D_
120::30101::id36 _x000D_
312::80000::id36 _x000D_
380::4000::id36 _x000D_
430::28000::id36 _x000D_
650::2000::id36 _x000D_
660::15000::id36 _x000D_
710::40451::id36 _x000D_
720::16360::id36 _x000D_
730::15000::id36 _x000D_
740::9500::id36 _x000D_
820::45000::id36 _x000D_
830::5000::id36 _x000D_
210::130000::id37 _x000D_
251::10000::id37 _x000D_
260::67869::id37 _x000D_
312::90000::id37 _x000D_
315::52000::id37 _x000D_
420::25000::id37 _x000D_
460::6562::id37 _x000D_
470::25000::id37 _x000D_
510::10000::id37 _x000D_
660::12000::id37 _x000D_
730::10564::id37 _x000D_
740::16967::id37 _x000D_
801::35040::id37 _x000D_
805::25000::id37 _x000D_
807::3000::id37 _x000D_
805::505000::id38 _x000D_
315::30000::id39 _x000D_
380::25000::id39 _x000D_
420::75000::id39 _x000D_
710::10000::id39 _x000D_
740::5361::id39 _x000D_
801::30000::id39 _x000D_
820::50000::id39 _x000D_
315::16000::id40 _x000D_
420::24000::id40 _x000D_
460::16000::id40 _x000D_
660::7000::id40 _x000D_
720::8000::id40 _x000D_
730::5000::id40 _x000D_
740::5000::id40 _x000D_
210::110000::id41 _x000D_
251::10000::id41 _x000D_
312::85000::id41 _x000D_
315::44000::id41 _x000D_
420::50000::id41 _x000D_
470::50000::id41 _x000D_
510::20000::id41 _x000D_
1930::93600::id41 _x000D_
1940::317200::id41 _x000D_
1960::72800::id41 _x000D_
1970::371880::id41 _x000D_
1980::223600::id41 _x000D_
202::30000::id42 _x000D_
210::200000::id42 _x000D_
253::20000::id42 _x000D_
254::26975::id42 _x000D_
311::30000::id42 _x000D_
312::130000::id42 _x000D_
315::80000::id42 _x000D_
390::3000::id42 _x000D_
420::72000::id42 _x000D_
460::10000::id42 _x000D_
470::48000::id42 _x000D_
730::20000::id42 _x000D_
740::20000::id42 _x000D_
801::75000::id42 _x000D_
820::6000::id42 _x000D_
210::295000::id43 _x000D_
331::29000::id43 _x000D_
332::465000::id43 _x000D_
380::8000::id43 _x000D_
460::14260::id43 _x000D_
670::8000::id43 _x000D_
690::10000::id43 _x000D_
720::101192::id43 _x000D_
730::25000::id43 _x000D_
740::34401::id43 _x000D_
801::38400::id43 _x000D_
802::25000::id43 _x000D_
807::7000::id43 _x000D_
302::40000::id44 _x000D_
420::50000::id44 _x000D_
460::10000::id44 _x000D_
710::18454::id44 _x000D_
720::6000::id44 _x000D_
730::6000::id44 _x000D_
806::18000::id44 _x000D_
820::38000::id44 _x000D_
1920::339145::id44 _x000D_
1925::111073::id44 _x000D_
1940::61001::id44 _x000D_
1950::20313::id44 _x000D_
1970::20445::id44 _x000D_
1980::60939::id44 _x000D_
203::25000::id45 _x000D_
210::190000::id45 _x000D_
252::46808::id45 _x000D_
312::100000::id45 _x000D_
315::76000::id45 _x000D_
420::80000::id45 _x000D_
460::48095::id45 _x000D_
470::30000::id45 _x000D_
510::30000::id45 _x000D_
560::30000::id45 _x000D_
610::26950::id45 _x000D_
630::24355::id45 _x000D_
710::5512::id45 _x000D_
740::13000::id45 _x000D_
801::40800::id45 _x000D_
820::6000::id45 _x000D_
110::109170::id46 _x000D_
251::26000::id46 _x000D_
312::10000::id46 _x000D_
420::100000::id46 _x000D_
460::80000::id46 _x000D_
510::50000::id46 _x000D_
550::65502::id46 _x000D_
710::450000::id46 _x000D_
730::28995::id46 _x000D_
740::28995::id46 _x000D_
890::12009::id46 _x000D_
1980::8630394::id46 _x000D_
420::50000::id47 _x000D_
890::75000::id47 _x000D_
311::20000::id48 _x000D_
312::100000::id48 _x000D_
430::30000::id48 _x000D_
510::8000::id48 _x000D_
660::9280::id48 _x000D_
670::10788::id48 _x000D_
720::12500::id48 _x000D_
730::33640::id48 _x000D_
740::5829::id48 _x000D_
820::70000::id48 _x000D_
1980::42413::id48 _x000D_
2980::84915::id48 _x000D_
251::55000::id49 _x000D_
254::10000::id49 _x000D_
332::140000::id49 _x000D_
380::50000::id49 _x000D_
420::60000::id49 _x000D_
460::5000::id49 _x000D_
660::8000::id49 _x000D_
710::10000::id49 _x000D_
730::8800::id49 _x000D_
740::7000::id49 _x000D_
801::38000::id49 _x000D_
820::25000::id49 _x000D_
202::25000::id50 _x000D_
312::73000::id50 _x000D_
380::70000::id50 _x000D_
430::26000::id50 _x000D_
650::4500::id50 _x000D_
660::5424::id50 _x000D_
670::5000::id50 _x000D_
720::21621::id50 _x000D_
802::15000::id50 _x000D_
820::5000::id50 _x000D_
890::51313::id50 _x000D_
254::11650::id51 _x000D_
312::40000::id51 _x000D_
315::16000::id51 _x000D_
380::8000::id51 _x000D_
420::40000::id51 _x000D_
710::1817::id51 _x000D_
720::5000::id51 _x000D_
730::10000::id51 _x000D_
740::3441::id51 _x000D_
820::27000::id51 _x000D_
890::16000::id51 _x000D_
120::43750::id52 _x000D_
203::30000::id52 _x000D_
210::800000::id52 _x000D_
251::250000::id52 _x000D_
260::480000::id52 _x000D_
301::25000::id52 _x000D_
302::700000::id52 _x000D_
305::320000::id52 _x000D_
370::60000::id52 _x000D_
390::50000::id52 _x000D_
420::200000::id52 _x000D_
460::200000::id52 _x000D_
470::200000::id52 _x000D_
484::100000::id52 _x000D_
510::150000::id52 _x000D_
610::150000::id52 _x000D_
710::131752::id52 _x000D_
730::20000::id52 _x000D_
740::100000::id52 _x000D_
801::135000::id52 _x000D_
830::250000::id52 _x000D_
1925::506000::id52 _x000D_
1950::55000::id52 _x000D_
1955::33000::id52 _x000D_
1960::275000::id52 _x000D_
1970::330000::id52 _x000D_
203::30000::id53 _x000D_
210::120000::id53 _x000D_
321::15000::id53 _x000D_
322::55200::id53 _x000D_
410::10000::id53 _x000D_
420::36000::id53 _x000D_
460::22000::id53 _x000D_
470::24000::id53 _x000D_
650::10000::id53 _x000D_
710::21097::id53 _x000D_
730::15000::id53 _x000D_
740::25000::id53 _x000D_
801::40800::id53 _x000D_
210::60000::id54 _x000D_
251::12000::id54 _x000D_
302::60000::id54 _x000D_
420::22500::id54 _x000D_
460::10000::id54 _x000D_
470::22500::id54 _x000D_
610::20000::id54 _x000D_
620::72150::id54 _x000D_
630::11519::id54 _x000D_
730::9946::id54 _x000D_
801::4608::id54 _x000D_
806::15000::id54 _x000D_
110::39758::id55 _x000D_
420::50000::id55 _x000D_
460::20000::id55 _x000D_
470::50000::id55 _x000D_
510::5000::id55 _x000D_
710::21034::id55 _x000D_
730::4500::id55 _x000D_
740::4500::id55 _x000D_
820::4000::id55 _x000D_
1911::145781::id55 _x000D_
1920::220880::id55 _x000D_
1925::307023::id55 _x000D_
1940::441760::id55 _x000D_
1960::276100::id55 _x000D_
2911::23192::id55 _x000D_
2920::38654::id55 _x000D_
2940::44176::id55 _x000D_
2960::88352::id55 _x000D_
2970::4418::id55 _x000D_
3911::23192::id55 _x000D_
3912::51870::id55 _x000D_
3920::77806::id55 _x000D_
3960::28529::id55 _x000D_
3970::17394::id55 _x000D_
203::25000::id56 _x000D_
210::520000::id56 _x000D_
312::120000::id56 _x000D_
315::260000::id56 _x000D_
460::25000::id56 _x000D_
650::13000::id56 _x000D_
660::5000::id56 _x000D_
670::86796::id56 _x000D_
710::41136::id56 _x000D_
730::35000::id56 _x000D_
740::28000::id56 _x000D_
801::33600::id56 _x000D_
1970::163515::id56 _x000D_
301::10000::id57 _x000D_
302::440000::id57 _x000D_
305::15000::id57 _x000D_
420::220000::id57 _x000D_
460::70000::id57 _x000D_
484::65000::id57 _x000D_
650::5000::id57 _x000D_
730::5000::id57 _x000D_
740::42110::id57 _x000D_
801::43200::id57 _x000D_
807::5000::id57 _x000D_
820::81000::id57 _x000D_
830::15000::id57 _x000D_
850::60000::id57 _x000D_
110::110000::id58 _x000D_
420::50000::id58 _x000D_
460::50000::id58 _x000D_
470::50000::id58 _x000D_
510::10000::id58 _x000D_
570::11000::id58 _x000D_
710::52300::id58 _x000D_
1911::330000::id58 _x000D_
1912::55000::id58 _x000D_
1920::583000::id58 _x000D_
1925::342445::id58 _x000D_
1940::880000::id58 _x000D_
1955::77000::id58 _x000D_
1970::65500::id58 _x000D_
2911::110000::id58 _x000D_
2920::175000::id58 _x000D_
2925::44000::id58 _x000D_
2940::220000::id58 _x000D_
2950::55000::id58 _x000D_
2955::22000::id58 _x000D_
2970::40688::id58 _x000D_
210::720000::id59 _x000D_
302::500000::id59 _x000D_
420::125000::id59 _x000D_
470::125000::id59 _x000D_
510::30000::id59 _x000D_
710::71180::id59 _x000D_
730::10000::id59 _x000D_
740::50000::id59 _x000D_
801::57600::id59 _x000D_
1920::428181::id59 _x000D_
1925::246110::id59 _x000D_
1930::241538::id59 _x000D_
1940::304020::id59 _x000D_
2920::165125::id59 _x000D_
2970::158007::id59 _x000D_
315::11000::id60 _x000D_
420::110000::id60 _x000D_
460::30000::id60 _x000D_
710::6349::id60 _x000D_
720::7150::id60 _x000D_
730::5000::id60 _x000D_
740::2500::id60 _x000D_
1980::1112078::id60 _x000D_
2980::304751::id60 _x000D_
210::80000::id61 _x000D_
370::65000::id61 _x000D_
420::32500::id61 _x000D_
460::15000::id61 _x000D_
470::32500::id61 _x000D_
482::15000::id61 _x000D_
720::7000::id61 _x000D_
730::5000::id61 _x000D_
740::4308::id61 _x000D_
804::50000::id61 _x000D_
806::30000::id61 _x000D_
820::18000::id61 _x000D_
210::850000::id62 _x000D_
251::30000::id62 _x000D_
260::295127::id62 _x000D_
302::675000::id62 _x000D_
305::5000::id62 _x000D_
420::165000::id62 _x000D_
460::60000::id62 _x000D_
470::165000::id62 _x000D_
484::40000::id62 _x000D_
510::20000::id62 _x000D_
720::7000::id62 _x000D_
730::40000::id62 _x000D_
740::122454::id62 _x000D_
801::65280::id62 _x000D_
807::10000::id62 _x000D_
820::40000::id62 _x000D_
251::25923::id63 _x000D_
253::4124::id63 _x000D_
254::4124::id63 _x000D_
255::14214::id63 _x000D_
260::89334::id63 _x000D_
331::180000::id63 _x000D_
390::7500::id63 _x000D_
430::35000::id63 _x000D_
460::24000::id63 _x000D_
470::35000::id63 _x000D_
730::22333::id63 _x000D_
740::16482::id63 _x000D_
801::30000::id63 _x000D_
820::25000::id63 _x000D_
420::80000::id64 _x000D_
890::120000::id64 _x000D_
210::240000::id65 _x000D_
302::160000::id65 _x000D_
420::80000::id65 _x000D_
470::80000::id65 _x000D_
484::40000::id65 _x000D_
660::21500::id65 _x000D_
710::45000::id65 _x000D_
801::42000::id65 _x000D_
1920::825000::id65 _x000D_
1925::374000::id65 _x000D_
1940::231308::id65 _x000D_
1950::22000::id65 _x000D_
1970::137668::id65 _x000D_
1980::55000::id65 _x000D_
120::25000::id66 _x000D_
203::30000::id66 _x000D_
210::150000::id66 _x000D_
302::125000::id66 _x000D_
341::15000::id66 _x000D_
342::220000::id66 _x000D_
420::80000::id66 _x000D_
460::10000::id66 _x000D_
510::5000::id66 _x000D_
730::10000::id66 _x000D_
740::19600::id66 _x000D_
801::60000::id66 _x000D_
820::35000::id66 _x000D_
251::27000::id67 _x000D_
252::40000::id67 _x000D_
254::60000::id67 _x000D_
260::81061::id67 _x000D_
302::125000::id67 _x000D_
307::40000::id67 _x000D_
420::40000::id67 _x000D_
460::20000::id67 _x000D_
470::40000::id67 _x000D_
510::20000::id67 _x000D_
720::14000::id67 _x000D_
730::20000::id67 _x000D_
740::32925::id67 _x000D_
801::66979::id67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Sidonie-Gabrielle_Colette" TargetMode="External"/><Relationship Id="rId21" Type="http://schemas.openxmlformats.org/officeDocument/2006/relationships/hyperlink" Target="https://de.wikipedia.org/wiki/Das_andere_Geschlecht" TargetMode="External"/><Relationship Id="rId42" Type="http://schemas.openxmlformats.org/officeDocument/2006/relationships/hyperlink" Target="https://de.wikipedia.org/wiki/Aldous_Huxley" TargetMode="External"/><Relationship Id="rId63" Type="http://schemas.openxmlformats.org/officeDocument/2006/relationships/hyperlink" Target="https://de.wikipedia.org/wiki/Albert_Cohen" TargetMode="External"/><Relationship Id="rId84" Type="http://schemas.openxmlformats.org/officeDocument/2006/relationships/hyperlink" Target="https://de.wikipedia.org/wiki/Das_Leben_Gebrauchsanweisung" TargetMode="External"/><Relationship Id="rId138" Type="http://schemas.openxmlformats.org/officeDocument/2006/relationships/hyperlink" Target="https://de.wikipedia.org/wiki/Die_Mars-Chroniken" TargetMode="External"/><Relationship Id="rId159" Type="http://schemas.openxmlformats.org/officeDocument/2006/relationships/hyperlink" Target="https://de.wikipedia.org/wiki/Blaise_Cendrars" TargetMode="External"/><Relationship Id="rId170" Type="http://schemas.openxmlformats.org/officeDocument/2006/relationships/hyperlink" Target="https://de.wikipedia.org/wiki/Der_Mann_ohne_Eigenschaften" TargetMode="External"/><Relationship Id="rId191" Type="http://schemas.openxmlformats.org/officeDocument/2006/relationships/hyperlink" Target="https://de.wikipedia.org/w/index.php?title=Seemarken&amp;action=edit&amp;redlink=1" TargetMode="External"/><Relationship Id="rId107" Type="http://schemas.openxmlformats.org/officeDocument/2006/relationships/hyperlink" Target="https://de.wikipedia.org/wiki/Bertolt_Brecht" TargetMode="External"/><Relationship Id="rId11" Type="http://schemas.openxmlformats.org/officeDocument/2006/relationships/hyperlink" Target="https://de.wikipedia.org/wiki/Reise_ans_Ende_der_Nacht" TargetMode="External"/><Relationship Id="rId32" Type="http://schemas.openxmlformats.org/officeDocument/2006/relationships/hyperlink" Target="https://de.wikipedia.org/wiki/Jacques_Pr%C3%A9vert" TargetMode="External"/><Relationship Id="rId53" Type="http://schemas.openxmlformats.org/officeDocument/2006/relationships/hyperlink" Target="https://de.wikipedia.org/wiki/Vladimir_Nabokov" TargetMode="External"/><Relationship Id="rId74" Type="http://schemas.openxmlformats.org/officeDocument/2006/relationships/hyperlink" Target="https://de.wikipedia.org/wiki/Vom_Winde_verweht" TargetMode="External"/><Relationship Id="rId128" Type="http://schemas.openxmlformats.org/officeDocument/2006/relationships/hyperlink" Target="https://de.wikipedia.org/w/index.php?title=Das_Ufer_der_Syrten&amp;action=edit&amp;redlink=1" TargetMode="External"/><Relationship Id="rId149" Type="http://schemas.openxmlformats.org/officeDocument/2006/relationships/hyperlink" Target="https://de.wikipedia.org/wiki/Joseph_Conrad" TargetMode="External"/><Relationship Id="rId5" Type="http://schemas.openxmlformats.org/officeDocument/2006/relationships/hyperlink" Target="https://de.wikipedia.org/wiki/Der_Process" TargetMode="External"/><Relationship Id="rId95" Type="http://schemas.openxmlformats.org/officeDocument/2006/relationships/hyperlink" Target="https://de.wikipedia.org/wiki/Alberto_Moravia" TargetMode="External"/><Relationship Id="rId160" Type="http://schemas.openxmlformats.org/officeDocument/2006/relationships/hyperlink" Target="https://de.wikipedia.org/w/index.php?title=Der_General_der_toten_Armee&amp;action=edit&amp;redlink=1" TargetMode="External"/><Relationship Id="rId181" Type="http://schemas.openxmlformats.org/officeDocument/2006/relationships/hyperlink" Target="https://de.wikipedia.org/wiki/Rainer_Maria_Rilke" TargetMode="External"/><Relationship Id="rId22" Type="http://schemas.openxmlformats.org/officeDocument/2006/relationships/hyperlink" Target="https://de.wikipedia.org/wiki/Simone_de_Beauvoir" TargetMode="External"/><Relationship Id="rId43" Type="http://schemas.openxmlformats.org/officeDocument/2006/relationships/hyperlink" Target="https://de.wikipedia.org/wiki/1984_(Roman)" TargetMode="External"/><Relationship Id="rId64" Type="http://schemas.openxmlformats.org/officeDocument/2006/relationships/hyperlink" Target="https://de.wikipedia.org/wiki/Hundert_Jahre_Einsamkeit" TargetMode="External"/><Relationship Id="rId118" Type="http://schemas.openxmlformats.org/officeDocument/2006/relationships/hyperlink" Target="https://de.wikipedia.org/w/index.php?title=Hauptstadt_der_Schmerzen&amp;action=edit&amp;redlink=1" TargetMode="External"/><Relationship Id="rId139" Type="http://schemas.openxmlformats.org/officeDocument/2006/relationships/hyperlink" Target="https://de.wikipedia.org/wiki/Ray_Bradbury" TargetMode="External"/><Relationship Id="rId85" Type="http://schemas.openxmlformats.org/officeDocument/2006/relationships/hyperlink" Target="https://de.wikipedia.org/wiki/Georges_Perec" TargetMode="External"/><Relationship Id="rId150" Type="http://schemas.openxmlformats.org/officeDocument/2006/relationships/hyperlink" Target="https://de.wikipedia.org/w/index.php?title=Schriften_(Lacan)&amp;action=edit&amp;redlink=1" TargetMode="External"/><Relationship Id="rId171" Type="http://schemas.openxmlformats.org/officeDocument/2006/relationships/hyperlink" Target="https://de.wikipedia.org/wiki/Robert_Musil" TargetMode="External"/><Relationship Id="rId192" Type="http://schemas.openxmlformats.org/officeDocument/2006/relationships/hyperlink" Target="https://de.wikipedia.org/wiki/Saint-John_Perse" TargetMode="External"/><Relationship Id="rId12" Type="http://schemas.openxmlformats.org/officeDocument/2006/relationships/hyperlink" Target="https://de.wikipedia.org/wiki/Louis-Ferdinand_C%C3%A9line" TargetMode="External"/><Relationship Id="rId33" Type="http://schemas.openxmlformats.org/officeDocument/2006/relationships/hyperlink" Target="file:///wiki/Guillaume_Apollinaire" TargetMode="External"/><Relationship Id="rId108" Type="http://schemas.openxmlformats.org/officeDocument/2006/relationships/hyperlink" Target="https://de.wikipedia.org/w/index.php?title=Freitag_oder_Im_Schoss_des_Pazifik&amp;action=edit&amp;redlink=1" TargetMode="External"/><Relationship Id="rId129" Type="http://schemas.openxmlformats.org/officeDocument/2006/relationships/hyperlink" Target="https://de.wikipedia.org/wiki/Julien_Gracq" TargetMode="External"/><Relationship Id="rId54" Type="http://schemas.openxmlformats.org/officeDocument/2006/relationships/hyperlink" Target="https://de.wikipedia.org/wiki/Ulysses" TargetMode="External"/><Relationship Id="rId75" Type="http://schemas.openxmlformats.org/officeDocument/2006/relationships/hyperlink" Target="https://de.wikipedia.org/wiki/Margaret_Mitchell" TargetMode="External"/><Relationship Id="rId96" Type="http://schemas.openxmlformats.org/officeDocument/2006/relationships/hyperlink" Target="https://de.wikipedia.org/wiki/Alibi_(Roman)" TargetMode="External"/><Relationship Id="rId140" Type="http://schemas.openxmlformats.org/officeDocument/2006/relationships/hyperlink" Target="https://de.wikipedia.org/w/index.php?title=Die_Verz%C3%BCckung_der_Lol_V._Stein&amp;action=edit&amp;redlink=1" TargetMode="External"/><Relationship Id="rId161" Type="http://schemas.openxmlformats.org/officeDocument/2006/relationships/hyperlink" Target="https://de.wikipedia.org/wiki/Ismail_Kadare" TargetMode="External"/><Relationship Id="rId182" Type="http://schemas.openxmlformats.org/officeDocument/2006/relationships/hyperlink" Target="https://de.wikipedia.org/w/index.php?title=Paris-Rom_oder_Die_Modifikation&amp;action=edit&amp;redlink=1" TargetMode="External"/><Relationship Id="rId6" Type="http://schemas.openxmlformats.org/officeDocument/2006/relationships/hyperlink" Target="https://de.wikipedia.org/wiki/Franz_Kafka" TargetMode="External"/><Relationship Id="rId23" Type="http://schemas.openxmlformats.org/officeDocument/2006/relationships/hyperlink" Target="https://de.wikipedia.org/wiki/Warten_auf_Godot" TargetMode="External"/><Relationship Id="rId119" Type="http://schemas.openxmlformats.org/officeDocument/2006/relationships/hyperlink" Target="https://de.wikipedia.org/wiki/Paul_%C3%89luard" TargetMode="External"/><Relationship Id="rId44" Type="http://schemas.openxmlformats.org/officeDocument/2006/relationships/hyperlink" Target="https://de.wikipedia.org/wiki/George_Orwell" TargetMode="External"/><Relationship Id="rId65" Type="http://schemas.openxmlformats.org/officeDocument/2006/relationships/hyperlink" Target="https://de.wikipedia.org/wiki/Gabriel_Garc%C3%ADa_M%C3%A1rquez" TargetMode="External"/><Relationship Id="rId86" Type="http://schemas.openxmlformats.org/officeDocument/2006/relationships/hyperlink" Target="https://de.wikipedia.org/wiki/Der_Hund_von_Baskerville" TargetMode="External"/><Relationship Id="rId130" Type="http://schemas.openxmlformats.org/officeDocument/2006/relationships/hyperlink" Target="https://de.wikipedia.org/wiki/Die_Ordnung_der_Dinge" TargetMode="External"/><Relationship Id="rId151" Type="http://schemas.openxmlformats.org/officeDocument/2006/relationships/hyperlink" Target="https://de.wikipedia.org/wiki/Jacques_Lacan" TargetMode="External"/><Relationship Id="rId172" Type="http://schemas.openxmlformats.org/officeDocument/2006/relationships/hyperlink" Target="https://de.wikipedia.org/w/index.php?title=Fureur_et_myst%C3%A8re&amp;action=edit&amp;redlink=1" TargetMode="External"/><Relationship Id="rId193" Type="http://schemas.openxmlformats.org/officeDocument/2006/relationships/hyperlink" Target="https://de.wikipedia.org/wiki/Gaston_(Comic)" TargetMode="External"/><Relationship Id="rId13" Type="http://schemas.openxmlformats.org/officeDocument/2006/relationships/hyperlink" Target="https://de.wikipedia.org/wiki/Fr%C3%BCchte_des_Zorns" TargetMode="External"/><Relationship Id="rId109" Type="http://schemas.openxmlformats.org/officeDocument/2006/relationships/hyperlink" Target="https://de.wikipedia.org/wiki/Michel_Tournier" TargetMode="External"/><Relationship Id="rId34" Type="http://schemas.openxmlformats.org/officeDocument/2006/relationships/hyperlink" Target="https://de.wikipedia.org/wiki/Guillaume_Apollinaire" TargetMode="External"/><Relationship Id="rId55" Type="http://schemas.openxmlformats.org/officeDocument/2006/relationships/hyperlink" Target="https://de.wikipedia.org/wiki/James_Joyce" TargetMode="External"/><Relationship Id="rId76" Type="http://schemas.openxmlformats.org/officeDocument/2006/relationships/hyperlink" Target="https://de.wikipedia.org/wiki/Lady_Chatterley" TargetMode="External"/><Relationship Id="rId97" Type="http://schemas.openxmlformats.org/officeDocument/2006/relationships/hyperlink" Target="https://de.wikipedia.org/wiki/Agatha_Christie" TargetMode="External"/><Relationship Id="rId120" Type="http://schemas.openxmlformats.org/officeDocument/2006/relationships/hyperlink" Target="https://de.wikipedia.org/wiki/Martin_Eden" TargetMode="External"/><Relationship Id="rId141" Type="http://schemas.openxmlformats.org/officeDocument/2006/relationships/hyperlink" Target="https://de.wikipedia.org/wiki/Marguerite_Duras" TargetMode="External"/><Relationship Id="rId7" Type="http://schemas.openxmlformats.org/officeDocument/2006/relationships/hyperlink" Target="https://de.wikipedia.org/wiki/Der_kleine_Prinz" TargetMode="External"/><Relationship Id="rId71" Type="http://schemas.openxmlformats.org/officeDocument/2006/relationships/hyperlink" Target="https://de.wikipedia.org/wiki/Raymond_Queneau" TargetMode="External"/><Relationship Id="rId92" Type="http://schemas.openxmlformats.org/officeDocument/2006/relationships/hyperlink" Target="https://de.wikipedia.org/wiki/Der_Scherz" TargetMode="External"/><Relationship Id="rId162" Type="http://schemas.openxmlformats.org/officeDocument/2006/relationships/hyperlink" Target="https://de.wikipedia.org/wiki/Sophies_Entscheidung" TargetMode="External"/><Relationship Id="rId183" Type="http://schemas.openxmlformats.org/officeDocument/2006/relationships/hyperlink" Target="https://de.wikipedia.org/wiki/Michel_Butor" TargetMode="External"/><Relationship Id="rId2" Type="http://schemas.openxmlformats.org/officeDocument/2006/relationships/hyperlink" Target="https://de.wikipedia.org/wiki/Albert_Camus" TargetMode="External"/><Relationship Id="rId29" Type="http://schemas.openxmlformats.org/officeDocument/2006/relationships/hyperlink" Target="https://de.wikipedia.org/wiki/Der_Archipel_Gulag" TargetMode="External"/><Relationship Id="rId24" Type="http://schemas.openxmlformats.org/officeDocument/2006/relationships/hyperlink" Target="https://de.wikipedia.org/wiki/Samuel_Beckett" TargetMode="External"/><Relationship Id="rId40" Type="http://schemas.openxmlformats.org/officeDocument/2006/relationships/hyperlink" Target="https://de.wikipedia.org/wiki/Claude_L%C3%A9vi-Strauss" TargetMode="External"/><Relationship Id="rId45" Type="http://schemas.openxmlformats.org/officeDocument/2006/relationships/hyperlink" Target="https://de.wikipedia.org/wiki/Asterix_der_Gallier_(Comic)" TargetMode="External"/><Relationship Id="rId66" Type="http://schemas.openxmlformats.org/officeDocument/2006/relationships/hyperlink" Target="https://de.wikipedia.org/wiki/Schall_und_Wahn" TargetMode="External"/><Relationship Id="rId87" Type="http://schemas.openxmlformats.org/officeDocument/2006/relationships/hyperlink" Target="https://de.wikipedia.org/wiki/Arthur_Conan_Doyle" TargetMode="External"/><Relationship Id="rId110" Type="http://schemas.openxmlformats.org/officeDocument/2006/relationships/hyperlink" Target="https://de.wikipedia.org/wiki/Krieg_der_Welten" TargetMode="External"/><Relationship Id="rId115" Type="http://schemas.openxmlformats.org/officeDocument/2006/relationships/hyperlink" Target="https://de.wikipedia.org/wiki/J._R._R._Tolkien" TargetMode="External"/><Relationship Id="rId131" Type="http://schemas.openxmlformats.org/officeDocument/2006/relationships/hyperlink" Target="https://de.wikipedia.org/wiki/Michel_Foucault" TargetMode="External"/><Relationship Id="rId136" Type="http://schemas.openxmlformats.org/officeDocument/2006/relationships/hyperlink" Target="https://de.wikipedia.org/wiki/Ein_Zimmer_f%C3%BCr_sich_allein" TargetMode="External"/><Relationship Id="rId157" Type="http://schemas.openxmlformats.org/officeDocument/2006/relationships/hyperlink" Target="https://de.wikipedia.org/wiki/Jorge_Luis_Borges" TargetMode="External"/><Relationship Id="rId178" Type="http://schemas.openxmlformats.org/officeDocument/2006/relationships/hyperlink" Target="https://de.wikipedia.org/wiki/Blake_und_Mortimer" TargetMode="External"/><Relationship Id="rId61" Type="http://schemas.openxmlformats.org/officeDocument/2006/relationships/hyperlink" Target="https://de.wikipedia.org/wiki/Jean_Giono" TargetMode="External"/><Relationship Id="rId82" Type="http://schemas.openxmlformats.org/officeDocument/2006/relationships/hyperlink" Target="https://de.wikipedia.org/wiki/Das_Schweigen_des_Meeres" TargetMode="External"/><Relationship Id="rId152" Type="http://schemas.openxmlformats.org/officeDocument/2006/relationships/hyperlink" Target="https://de.wikipedia.org/w/index.php?title=Das_Theater_und_sein_Double&amp;action=edit&amp;redlink=1" TargetMode="External"/><Relationship Id="rId173" Type="http://schemas.openxmlformats.org/officeDocument/2006/relationships/hyperlink" Target="https://de.wikipedia.org/wiki/Ren%C3%A9_Char" TargetMode="External"/><Relationship Id="rId194" Type="http://schemas.openxmlformats.org/officeDocument/2006/relationships/hyperlink" Target="https://de.wikipedia.org/wiki/Andr%C3%A9_Franquin" TargetMode="External"/><Relationship Id="rId19" Type="http://schemas.openxmlformats.org/officeDocument/2006/relationships/hyperlink" Target="https://de.wikipedia.org/wiki/Der_Schaum_der_Tage_(Roman)" TargetMode="External"/><Relationship Id="rId14" Type="http://schemas.openxmlformats.org/officeDocument/2006/relationships/hyperlink" Target="https://de.wikipedia.org/wiki/John_Steinbeck" TargetMode="External"/><Relationship Id="rId30" Type="http://schemas.openxmlformats.org/officeDocument/2006/relationships/hyperlink" Target="https://de.wikipedia.org/wiki/Alexander_Issajewitsch_Solschenizyn" TargetMode="External"/><Relationship Id="rId35" Type="http://schemas.openxmlformats.org/officeDocument/2006/relationships/hyperlink" Target="https://de.wikipedia.org/wiki/Der_Blaue_Lotos" TargetMode="External"/><Relationship Id="rId56" Type="http://schemas.openxmlformats.org/officeDocument/2006/relationships/hyperlink" Target="https://de.wikipedia.org/wiki/Die_Tatarenw%C3%BCste" TargetMode="External"/><Relationship Id="rId77" Type="http://schemas.openxmlformats.org/officeDocument/2006/relationships/hyperlink" Target="https://de.wikipedia.org/wiki/D._H._Lawrence" TargetMode="External"/><Relationship Id="rId100" Type="http://schemas.openxmlformats.org/officeDocument/2006/relationships/hyperlink" Target="https://de.wikipedia.org/wiki/Aur%C3%A9lien_(Roman)" TargetMode="External"/><Relationship Id="rId105" Type="http://schemas.openxmlformats.org/officeDocument/2006/relationships/hyperlink" Target="https://de.wikipedia.org/wiki/Luigi_Pirandello" TargetMode="External"/><Relationship Id="rId126" Type="http://schemas.openxmlformats.org/officeDocument/2006/relationships/hyperlink" Target="https://de.wikipedia.org/wiki/Die_verlorene_Ehre_der_Katharina_Blum" TargetMode="External"/><Relationship Id="rId147" Type="http://schemas.openxmlformats.org/officeDocument/2006/relationships/hyperlink" Target="https://de.wikipedia.org/wiki/Jules_Renard" TargetMode="External"/><Relationship Id="rId168" Type="http://schemas.openxmlformats.org/officeDocument/2006/relationships/hyperlink" Target="https://de.wikipedia.org/w/index.php?title=Notre-Dame-des-Fleurs&amp;action=edit&amp;redlink=1" TargetMode="External"/><Relationship Id="rId8" Type="http://schemas.openxmlformats.org/officeDocument/2006/relationships/hyperlink" Target="https://de.wikipedia.org/wiki/Antoine_de_Saint-Exup%C3%A9ry" TargetMode="External"/><Relationship Id="rId51" Type="http://schemas.openxmlformats.org/officeDocument/2006/relationships/hyperlink" Target="https://de.wikipedia.org/wiki/Marguerite_Yourcenar" TargetMode="External"/><Relationship Id="rId72" Type="http://schemas.openxmlformats.org/officeDocument/2006/relationships/hyperlink" Target="https://de.wikipedia.org/wiki/Verwirrung_der_Gef%C3%BChle" TargetMode="External"/><Relationship Id="rId93" Type="http://schemas.openxmlformats.org/officeDocument/2006/relationships/hyperlink" Target="https://de.wikipedia.org/wiki/Milan_Kundera" TargetMode="External"/><Relationship Id="rId98" Type="http://schemas.openxmlformats.org/officeDocument/2006/relationships/hyperlink" Target="https://de.wikipedia.org/wiki/Nadja_(Roman)" TargetMode="External"/><Relationship Id="rId121" Type="http://schemas.openxmlformats.org/officeDocument/2006/relationships/hyperlink" Target="https://de.wikipedia.org/wiki/Jack_London" TargetMode="External"/><Relationship Id="rId142" Type="http://schemas.openxmlformats.org/officeDocument/2006/relationships/hyperlink" Target="https://de.wikipedia.org/w/index.php?title=Das_Protokoll&amp;action=edit&amp;redlink=1" TargetMode="External"/><Relationship Id="rId163" Type="http://schemas.openxmlformats.org/officeDocument/2006/relationships/hyperlink" Target="https://de.wikipedia.org/wiki/William_Styron" TargetMode="External"/><Relationship Id="rId184" Type="http://schemas.openxmlformats.org/officeDocument/2006/relationships/hyperlink" Target="https://de.wikipedia.org/wiki/Elemente_und_Urspr%C3%BCnge_totaler_Herrschaft" TargetMode="External"/><Relationship Id="rId189" Type="http://schemas.openxmlformats.org/officeDocument/2006/relationships/hyperlink" Target="https://de.wikipedia.org/wiki/Der_gro%C3%9Fe_Schlaf" TargetMode="External"/><Relationship Id="rId3" Type="http://schemas.openxmlformats.org/officeDocument/2006/relationships/hyperlink" Target="https://de.wikipedia.org/wiki/Auf_der_Suche_nach_der_verlorenen_Zeit" TargetMode="External"/><Relationship Id="rId25" Type="http://schemas.openxmlformats.org/officeDocument/2006/relationships/hyperlink" Target="https://de.wikipedia.org/wiki/Das_Sein_und_das_Nichts" TargetMode="External"/><Relationship Id="rId46" Type="http://schemas.openxmlformats.org/officeDocument/2006/relationships/hyperlink" Target="https://de.wikipedia.org/wiki/Die_kahle_S%C3%A4ngerin" TargetMode="External"/><Relationship Id="rId67" Type="http://schemas.openxmlformats.org/officeDocument/2006/relationships/hyperlink" Target="https://de.wikipedia.org/wiki/William_Faulkner" TargetMode="External"/><Relationship Id="rId116" Type="http://schemas.openxmlformats.org/officeDocument/2006/relationships/hyperlink" Target="https://de.wikipedia.org/w/index.php?title=Les_Vrilles_de_la_vigne&amp;action=edit&amp;redlink=1" TargetMode="External"/><Relationship Id="rId137" Type="http://schemas.openxmlformats.org/officeDocument/2006/relationships/hyperlink" Target="https://de.wikipedia.org/wiki/Virginia_Woolf" TargetMode="External"/><Relationship Id="rId158" Type="http://schemas.openxmlformats.org/officeDocument/2006/relationships/hyperlink" Target="https://de.wikipedia.org/wiki/Moloch._Das_Leben_des_Moravagine" TargetMode="External"/><Relationship Id="rId20" Type="http://schemas.openxmlformats.org/officeDocument/2006/relationships/hyperlink" Target="https://de.wikipedia.org/wiki/Boris_Vian" TargetMode="External"/><Relationship Id="rId41" Type="http://schemas.openxmlformats.org/officeDocument/2006/relationships/hyperlink" Target="https://de.wikipedia.org/wiki/Sch%C3%B6ne_neue_Welt" TargetMode="External"/><Relationship Id="rId62" Type="http://schemas.openxmlformats.org/officeDocument/2006/relationships/hyperlink" Target="https://de.wikipedia.org/wiki/Die_Sch%C3%B6ne_des_Herrn" TargetMode="External"/><Relationship Id="rId83" Type="http://schemas.openxmlformats.org/officeDocument/2006/relationships/hyperlink" Target="https://de.wikipedia.org/wiki/Vercors_(Schriftsteller)" TargetMode="External"/><Relationship Id="rId88" Type="http://schemas.openxmlformats.org/officeDocument/2006/relationships/hyperlink" Target="https://de.wikipedia.org/wiki/Die_Sonne_Satans" TargetMode="External"/><Relationship Id="rId111" Type="http://schemas.openxmlformats.org/officeDocument/2006/relationships/hyperlink" Target="https://de.wikipedia.org/wiki/H._G._Wells" TargetMode="External"/><Relationship Id="rId132" Type="http://schemas.openxmlformats.org/officeDocument/2006/relationships/hyperlink" Target="https://de.wikipedia.org/wiki/Unterwegs" TargetMode="External"/><Relationship Id="rId153" Type="http://schemas.openxmlformats.org/officeDocument/2006/relationships/hyperlink" Target="https://de.wikipedia.org/wiki/Antonin_Artaud" TargetMode="External"/><Relationship Id="rId174" Type="http://schemas.openxmlformats.org/officeDocument/2006/relationships/hyperlink" Target="https://de.wikipedia.org/wiki/Der_F%C3%A4nger_im_Roggen" TargetMode="External"/><Relationship Id="rId179" Type="http://schemas.openxmlformats.org/officeDocument/2006/relationships/hyperlink" Target="https://de.wikipedia.org/wiki/Edgar_P._Jacobs" TargetMode="External"/><Relationship Id="rId195" Type="http://schemas.openxmlformats.org/officeDocument/2006/relationships/hyperlink" Target="https://de.wikipedia.org/wiki/Unter_dem_Vulkan" TargetMode="External"/><Relationship Id="rId190" Type="http://schemas.openxmlformats.org/officeDocument/2006/relationships/hyperlink" Target="https://de.wikipedia.org/wiki/Raymond_Chandler" TargetMode="External"/><Relationship Id="rId15" Type="http://schemas.openxmlformats.org/officeDocument/2006/relationships/hyperlink" Target="https://de.wikipedia.org/wiki/Wem_die_Stunde_schl%C3%A4gt" TargetMode="External"/><Relationship Id="rId36" Type="http://schemas.openxmlformats.org/officeDocument/2006/relationships/hyperlink" Target="https://de.wikipedia.org/wiki/Herg%C3%A9" TargetMode="External"/><Relationship Id="rId57" Type="http://schemas.openxmlformats.org/officeDocument/2006/relationships/hyperlink" Target="https://de.wikipedia.org/wiki/Dino_Buzzati" TargetMode="External"/><Relationship Id="rId106" Type="http://schemas.openxmlformats.org/officeDocument/2006/relationships/hyperlink" Target="https://de.wikipedia.org/wiki/Der_aufhaltsame_Aufstieg_des_Arturo_Ui" TargetMode="External"/><Relationship Id="rId127" Type="http://schemas.openxmlformats.org/officeDocument/2006/relationships/hyperlink" Target="https://de.wikipedia.org/wiki/Heinrich_B%C3%B6ll" TargetMode="External"/><Relationship Id="rId10" Type="http://schemas.openxmlformats.org/officeDocument/2006/relationships/hyperlink" Target="https://de.wikipedia.org/wiki/Andr%C3%A9_Malraux" TargetMode="External"/><Relationship Id="rId31" Type="http://schemas.openxmlformats.org/officeDocument/2006/relationships/hyperlink" Target="https://de.wikipedia.org/w/index.php?title=Paroles&amp;action=edit&amp;redlink=1" TargetMode="External"/><Relationship Id="rId52" Type="http://schemas.openxmlformats.org/officeDocument/2006/relationships/hyperlink" Target="https://de.wikipedia.org/wiki/Lolita_(Roman)" TargetMode="External"/><Relationship Id="rId73" Type="http://schemas.openxmlformats.org/officeDocument/2006/relationships/hyperlink" Target="https://de.wikipedia.org/wiki/Stefan_Zweig" TargetMode="External"/><Relationship Id="rId78" Type="http://schemas.openxmlformats.org/officeDocument/2006/relationships/hyperlink" Target="https://de.wikipedia.org/wiki/Der_Zauberberg" TargetMode="External"/><Relationship Id="rId94" Type="http://schemas.openxmlformats.org/officeDocument/2006/relationships/hyperlink" Target="https://de.wikipedia.org/wiki/Die_Verachtung" TargetMode="External"/><Relationship Id="rId99" Type="http://schemas.openxmlformats.org/officeDocument/2006/relationships/hyperlink" Target="https://de.wikipedia.org/wiki/Andr%C3%A9_Breton" TargetMode="External"/><Relationship Id="rId101" Type="http://schemas.openxmlformats.org/officeDocument/2006/relationships/hyperlink" Target="https://de.wikipedia.org/wiki/Louis_Aragon" TargetMode="External"/><Relationship Id="rId122" Type="http://schemas.openxmlformats.org/officeDocument/2006/relationships/hyperlink" Target="https://de.wikipedia.org/wiki/Corto_Maltese" TargetMode="External"/><Relationship Id="rId143" Type="http://schemas.openxmlformats.org/officeDocument/2006/relationships/hyperlink" Target="https://de.wikipedia.org/wiki/Jean-Marie_Gustave_Le_Cl%C3%A9zio" TargetMode="External"/><Relationship Id="rId148" Type="http://schemas.openxmlformats.org/officeDocument/2006/relationships/hyperlink" Target="https://de.wikipedia.org/wiki/Lord_Jim" TargetMode="External"/><Relationship Id="rId164" Type="http://schemas.openxmlformats.org/officeDocument/2006/relationships/hyperlink" Target="https://de.wikipedia.org/wiki/Zigeunerromanzen" TargetMode="External"/><Relationship Id="rId169" Type="http://schemas.openxmlformats.org/officeDocument/2006/relationships/hyperlink" Target="https://de.wikipedia.org/wiki/Jean_Genet" TargetMode="External"/><Relationship Id="rId185" Type="http://schemas.openxmlformats.org/officeDocument/2006/relationships/hyperlink" Target="https://de.wikipedia.org/wiki/Hannah_Arendt" TargetMode="External"/><Relationship Id="rId4" Type="http://schemas.openxmlformats.org/officeDocument/2006/relationships/hyperlink" Target="https://de.wikipedia.org/wiki/Marcel_Proust" TargetMode="External"/><Relationship Id="rId9" Type="http://schemas.openxmlformats.org/officeDocument/2006/relationships/hyperlink" Target="https://de.wikipedia.org/wiki/So_lebt_der_Mensch" TargetMode="External"/><Relationship Id="rId180" Type="http://schemas.openxmlformats.org/officeDocument/2006/relationships/hyperlink" Target="https://de.wikipedia.org/wiki/Die_Aufzeichnungen_des_Malte_Laurids_Brigge" TargetMode="External"/><Relationship Id="rId26" Type="http://schemas.openxmlformats.org/officeDocument/2006/relationships/hyperlink" Target="https://de.wikipedia.org/wiki/Jean-Paul_Sartre" TargetMode="External"/><Relationship Id="rId47" Type="http://schemas.openxmlformats.org/officeDocument/2006/relationships/hyperlink" Target="https://de.wikipedia.org/wiki/Eug%C3%A8ne_Ionesco" TargetMode="External"/><Relationship Id="rId68" Type="http://schemas.openxmlformats.org/officeDocument/2006/relationships/hyperlink" Target="https://de.wikipedia.org/wiki/Die_Tat_der_Th%C3%A9r%C3%A8se_Desqueyroux" TargetMode="External"/><Relationship Id="rId89" Type="http://schemas.openxmlformats.org/officeDocument/2006/relationships/hyperlink" Target="https://de.wikipedia.org/wiki/Georges_Bernanos" TargetMode="External"/><Relationship Id="rId112" Type="http://schemas.openxmlformats.org/officeDocument/2006/relationships/hyperlink" Target="https://de.wikipedia.org/wiki/Ist_das_ein_Mensch%3F" TargetMode="External"/><Relationship Id="rId133" Type="http://schemas.openxmlformats.org/officeDocument/2006/relationships/hyperlink" Target="https://de.wikipedia.org/wiki/Jack_Kerouac" TargetMode="External"/><Relationship Id="rId154" Type="http://schemas.openxmlformats.org/officeDocument/2006/relationships/hyperlink" Target="https://de.wikipedia.org/wiki/Manhattan_Transfer_(Roman)" TargetMode="External"/><Relationship Id="rId175" Type="http://schemas.openxmlformats.org/officeDocument/2006/relationships/hyperlink" Target="https://de.wikipedia.org/wiki/J._D._Salinger" TargetMode="External"/><Relationship Id="rId196" Type="http://schemas.openxmlformats.org/officeDocument/2006/relationships/hyperlink" Target="https://de.wikipedia.org/wiki/Malcolm_Lowry" TargetMode="External"/><Relationship Id="rId16" Type="http://schemas.openxmlformats.org/officeDocument/2006/relationships/hyperlink" Target="https://de.wikipedia.org/wiki/Ernest_Hemingway" TargetMode="External"/><Relationship Id="rId37" Type="http://schemas.openxmlformats.org/officeDocument/2006/relationships/hyperlink" Target="https://de.wikipedia.org/wiki/Tagebuch_der_Anne_Frank" TargetMode="External"/><Relationship Id="rId58" Type="http://schemas.openxmlformats.org/officeDocument/2006/relationships/hyperlink" Target="https://de.wikipedia.org/wiki/Die_Falschm%C3%BCnzer" TargetMode="External"/><Relationship Id="rId79" Type="http://schemas.openxmlformats.org/officeDocument/2006/relationships/hyperlink" Target="https://de.wikipedia.org/wiki/Thomas_Mann" TargetMode="External"/><Relationship Id="rId102" Type="http://schemas.openxmlformats.org/officeDocument/2006/relationships/hyperlink" Target="https://de.wikipedia.org/w/index.php?title=Der_seidene_Schuh&amp;action=edit&amp;redlink=1" TargetMode="External"/><Relationship Id="rId123" Type="http://schemas.openxmlformats.org/officeDocument/2006/relationships/hyperlink" Target="https://de.wikipedia.org/wiki/Hugo_Pratt" TargetMode="External"/><Relationship Id="rId144" Type="http://schemas.openxmlformats.org/officeDocument/2006/relationships/hyperlink" Target="https://de.wikipedia.org/w/index.php?title=Tropismen&amp;action=edit&amp;redlink=1" TargetMode="External"/><Relationship Id="rId90" Type="http://schemas.openxmlformats.org/officeDocument/2006/relationships/hyperlink" Target="https://de.wikipedia.org/wiki/Der_gro%C3%9Fe_Gatsby" TargetMode="External"/><Relationship Id="rId165" Type="http://schemas.openxmlformats.org/officeDocument/2006/relationships/hyperlink" Target="https://de.wikipedia.org/wiki/Federico_Garc%C3%ADa_Lorca" TargetMode="External"/><Relationship Id="rId186" Type="http://schemas.openxmlformats.org/officeDocument/2006/relationships/hyperlink" Target="https://de.wikipedia.org/wiki/Der_Meister_und_Margarita" TargetMode="External"/><Relationship Id="rId27" Type="http://schemas.openxmlformats.org/officeDocument/2006/relationships/hyperlink" Target="https://de.wikipedia.org/wiki/Der_Name_der_Rose" TargetMode="External"/><Relationship Id="rId48" Type="http://schemas.openxmlformats.org/officeDocument/2006/relationships/hyperlink" Target="https://de.wikipedia.org/wiki/Infantile_Sexualit%C3%A4t" TargetMode="External"/><Relationship Id="rId69" Type="http://schemas.openxmlformats.org/officeDocument/2006/relationships/hyperlink" Target="https://de.wikipedia.org/wiki/Fran%C3%A7ois_Mauriac" TargetMode="External"/><Relationship Id="rId113" Type="http://schemas.openxmlformats.org/officeDocument/2006/relationships/hyperlink" Target="https://de.wikipedia.org/wiki/Primo_Levi" TargetMode="External"/><Relationship Id="rId134" Type="http://schemas.openxmlformats.org/officeDocument/2006/relationships/hyperlink" Target="https://de.wikipedia.org/wiki/Die_wunderbare_Reise_des_kleinen_Nils_Holgersson_mit_den_Wildg%C3%A4nsen" TargetMode="External"/><Relationship Id="rId80" Type="http://schemas.openxmlformats.org/officeDocument/2006/relationships/hyperlink" Target="https://de.wikipedia.org/wiki/Bonjour_tristesse_(Roman)" TargetMode="External"/><Relationship Id="rId155" Type="http://schemas.openxmlformats.org/officeDocument/2006/relationships/hyperlink" Target="https://de.wikipedia.org/wiki/John_Dos_Passos" TargetMode="External"/><Relationship Id="rId176" Type="http://schemas.openxmlformats.org/officeDocument/2006/relationships/hyperlink" Target="https://de.wikipedia.org/w/index.php?title=Keine_Orchideen_f%C3%BCr_Mrs._Blandish&amp;action=edit&amp;redlink=1" TargetMode="External"/><Relationship Id="rId197" Type="http://schemas.openxmlformats.org/officeDocument/2006/relationships/hyperlink" Target="https://de.wikipedia.org/wiki/Mitternachtskinder" TargetMode="External"/><Relationship Id="rId17" Type="http://schemas.openxmlformats.org/officeDocument/2006/relationships/hyperlink" Target="https://de.wikipedia.org/wiki/Der_gro%C3%9Fe_Meaulnes" TargetMode="External"/><Relationship Id="rId38" Type="http://schemas.openxmlformats.org/officeDocument/2006/relationships/hyperlink" Target="https://de.wikipedia.org/wiki/Anne_Frank" TargetMode="External"/><Relationship Id="rId59" Type="http://schemas.openxmlformats.org/officeDocument/2006/relationships/hyperlink" Target="https://de.wikipedia.org/wiki/Andr%C3%A9_Gide" TargetMode="External"/><Relationship Id="rId103" Type="http://schemas.openxmlformats.org/officeDocument/2006/relationships/hyperlink" Target="https://de.wikipedia.org/wiki/Paul_Claudel" TargetMode="External"/><Relationship Id="rId124" Type="http://schemas.openxmlformats.org/officeDocument/2006/relationships/hyperlink" Target="https://de.wikipedia.org/wiki/Am_Nullpunkt_der_Literatur" TargetMode="External"/><Relationship Id="rId70" Type="http://schemas.openxmlformats.org/officeDocument/2006/relationships/hyperlink" Target="https://de.wikipedia.org/wiki/Zazie_in_der_Metro" TargetMode="External"/><Relationship Id="rId91" Type="http://schemas.openxmlformats.org/officeDocument/2006/relationships/hyperlink" Target="https://de.wikipedia.org/wiki/F._Scott_Fitzgerald" TargetMode="External"/><Relationship Id="rId145" Type="http://schemas.openxmlformats.org/officeDocument/2006/relationships/hyperlink" Target="https://de.wikipedia.org/wiki/Nathalie_Sarraute" TargetMode="External"/><Relationship Id="rId166" Type="http://schemas.openxmlformats.org/officeDocument/2006/relationships/hyperlink" Target="https://de.wikipedia.org/wiki/Maigret_und_Pietr_der_Lette" TargetMode="External"/><Relationship Id="rId187" Type="http://schemas.openxmlformats.org/officeDocument/2006/relationships/hyperlink" Target="https://de.wikipedia.org/wiki/Michail_Bulgakow" TargetMode="External"/><Relationship Id="rId1" Type="http://schemas.openxmlformats.org/officeDocument/2006/relationships/hyperlink" Target="https://de.wikipedia.org/wiki/Der_Fremde" TargetMode="External"/><Relationship Id="rId28" Type="http://schemas.openxmlformats.org/officeDocument/2006/relationships/hyperlink" Target="https://de.wikipedia.org/wiki/Umberto_Eco" TargetMode="External"/><Relationship Id="rId49" Type="http://schemas.openxmlformats.org/officeDocument/2006/relationships/hyperlink" Target="https://de.wikipedia.org/wiki/Sigmund_Freud" TargetMode="External"/><Relationship Id="rId114" Type="http://schemas.openxmlformats.org/officeDocument/2006/relationships/hyperlink" Target="https://de.wikipedia.org/wiki/Der_Herr_der_Ringe" TargetMode="External"/><Relationship Id="rId60" Type="http://schemas.openxmlformats.org/officeDocument/2006/relationships/hyperlink" Target="https://de.wikipedia.org/wiki/Der_Husar_auf_dem_Dach_(Roman)" TargetMode="External"/><Relationship Id="rId81" Type="http://schemas.openxmlformats.org/officeDocument/2006/relationships/hyperlink" Target="https://de.wikipedia.org/wiki/Fran%C3%A7oise_Sagan" TargetMode="External"/><Relationship Id="rId135" Type="http://schemas.openxmlformats.org/officeDocument/2006/relationships/hyperlink" Target="https://de.wikipedia.org/wiki/Selma_Lagerl%C3%B6f" TargetMode="External"/><Relationship Id="rId156" Type="http://schemas.openxmlformats.org/officeDocument/2006/relationships/hyperlink" Target="https://de.wikipedia.org/wiki/Fiktionen" TargetMode="External"/><Relationship Id="rId177" Type="http://schemas.openxmlformats.org/officeDocument/2006/relationships/hyperlink" Target="https://de.wikipedia.org/wiki/James_Hadley_Chase" TargetMode="External"/><Relationship Id="rId198" Type="http://schemas.openxmlformats.org/officeDocument/2006/relationships/hyperlink" Target="https://de.wikipedia.org/wiki/Salman_Rushdie" TargetMode="External"/><Relationship Id="rId18" Type="http://schemas.openxmlformats.org/officeDocument/2006/relationships/hyperlink" Target="https://de.wikipedia.org/wiki/Alain-Fournier" TargetMode="External"/><Relationship Id="rId39" Type="http://schemas.openxmlformats.org/officeDocument/2006/relationships/hyperlink" Target="https://de.wikipedia.org/wiki/Traurige_Tropen" TargetMode="External"/><Relationship Id="rId50" Type="http://schemas.openxmlformats.org/officeDocument/2006/relationships/hyperlink" Target="https://de.wikipedia.org/w/index.php?title=Die_schwarze_Flamme&amp;action=edit&amp;redlink=1" TargetMode="External"/><Relationship Id="rId104" Type="http://schemas.openxmlformats.org/officeDocument/2006/relationships/hyperlink" Target="https://de.wikipedia.org/wiki/Sechs_Personen_suchen_einen_Autor" TargetMode="External"/><Relationship Id="rId125" Type="http://schemas.openxmlformats.org/officeDocument/2006/relationships/hyperlink" Target="https://de.wikipedia.org/wiki/Roland_Barthes" TargetMode="External"/><Relationship Id="rId146" Type="http://schemas.openxmlformats.org/officeDocument/2006/relationships/hyperlink" Target="https://de.wikipedia.org/w/index.php?title=Tageb%C3%BCcher_1887-1910&amp;action=edit&amp;redlink=1" TargetMode="External"/><Relationship Id="rId167" Type="http://schemas.openxmlformats.org/officeDocument/2006/relationships/hyperlink" Target="https://de.wikipedia.org/wiki/Georges_Simenon" TargetMode="External"/><Relationship Id="rId188" Type="http://schemas.openxmlformats.org/officeDocument/2006/relationships/hyperlink" Target="https://de.wikipedia.org/wiki/Henry_Miller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de.wikipedia.org/wiki/Das_Leben_Gebrauchsanweisung" TargetMode="External"/><Relationship Id="rId21" Type="http://schemas.openxmlformats.org/officeDocument/2006/relationships/hyperlink" Target="https://de.wikipedia.org/wiki/Die_Sch%C3%B6ne_des_Herrn" TargetMode="External"/><Relationship Id="rId42" Type="http://schemas.openxmlformats.org/officeDocument/2006/relationships/hyperlink" Target="https://de.wikipedia.org/wiki/Die_wunderbare_Reise_des_kleinen_Nils_Holgersson_mit_den_Wildg%C3%A4nsen" TargetMode="External"/><Relationship Id="rId47" Type="http://schemas.openxmlformats.org/officeDocument/2006/relationships/hyperlink" Target="https://de.wikipedia.org/w/index.php?title=Der_General_der_toten_Armee&amp;action=edit&amp;redlink=1" TargetMode="External"/><Relationship Id="rId63" Type="http://schemas.openxmlformats.org/officeDocument/2006/relationships/hyperlink" Target="https://de.wikipedia.org/wiki/Lolita_(Roman)" TargetMode="External"/><Relationship Id="rId68" Type="http://schemas.openxmlformats.org/officeDocument/2006/relationships/hyperlink" Target="https://de.wikipedia.org/wiki/Verwirrung_der_Gef%C3%BChle" TargetMode="External"/><Relationship Id="rId84" Type="http://schemas.openxmlformats.org/officeDocument/2006/relationships/hyperlink" Target="https://de.wikipedia.org/w/index.php?title=Schriften_(Lacan)&amp;action=edit&amp;redlink=1" TargetMode="External"/><Relationship Id="rId89" Type="http://schemas.openxmlformats.org/officeDocument/2006/relationships/hyperlink" Target="https://de.wikipedia.org/wiki/Zigeunerromanzen" TargetMode="External"/><Relationship Id="rId16" Type="http://schemas.openxmlformats.org/officeDocument/2006/relationships/hyperlink" Target="https://de.wikipedia.org/wiki/Infantile_Sexualit%C3%A4t" TargetMode="External"/><Relationship Id="rId11" Type="http://schemas.openxmlformats.org/officeDocument/2006/relationships/hyperlink" Target="file:///wiki/Guillaume_Apollinaire" TargetMode="External"/><Relationship Id="rId32" Type="http://schemas.openxmlformats.org/officeDocument/2006/relationships/hyperlink" Target="https://de.wikipedia.org/wiki/Alibi_(Roman)" TargetMode="External"/><Relationship Id="rId37" Type="http://schemas.openxmlformats.org/officeDocument/2006/relationships/hyperlink" Target="https://de.wikipedia.org/wiki/Der_Herr_der_Ringe" TargetMode="External"/><Relationship Id="rId53" Type="http://schemas.openxmlformats.org/officeDocument/2006/relationships/hyperlink" Target="https://de.wikipedia.org/wiki/Der_gro%C3%9Fe_Schlaf" TargetMode="External"/><Relationship Id="rId58" Type="http://schemas.openxmlformats.org/officeDocument/2006/relationships/hyperlink" Target="https://de.wikipedia.org/wiki/Warten_auf_Godot" TargetMode="External"/><Relationship Id="rId74" Type="http://schemas.openxmlformats.org/officeDocument/2006/relationships/hyperlink" Target="https://de.wikipedia.org/wiki/Ist_das_ein_Mensch%3F" TargetMode="External"/><Relationship Id="rId79" Type="http://schemas.openxmlformats.org/officeDocument/2006/relationships/hyperlink" Target="https://de.wikipedia.org/wiki/Unterwegs" TargetMode="External"/><Relationship Id="rId5" Type="http://schemas.openxmlformats.org/officeDocument/2006/relationships/hyperlink" Target="https://de.wikipedia.org/wiki/Der_gro%C3%9Fe_Meaulnes" TargetMode="External"/><Relationship Id="rId90" Type="http://schemas.openxmlformats.org/officeDocument/2006/relationships/hyperlink" Target="https://de.wikipedia.org/wiki/Maigret_und_Pietr_der_Lette" TargetMode="External"/><Relationship Id="rId95" Type="http://schemas.openxmlformats.org/officeDocument/2006/relationships/hyperlink" Target="https://de.wikipedia.org/wiki/Elemente_und_Urspr%C3%BCnge_totaler_Herrschaft" TargetMode="External"/><Relationship Id="rId22" Type="http://schemas.openxmlformats.org/officeDocument/2006/relationships/hyperlink" Target="https://de.wikipedia.org/wiki/Die_Tat_der_Th%C3%A9r%C3%A8se_Desqueyroux" TargetMode="External"/><Relationship Id="rId27" Type="http://schemas.openxmlformats.org/officeDocument/2006/relationships/hyperlink" Target="https://de.wikipedia.org/wiki/Der_Hund_von_Baskerville" TargetMode="External"/><Relationship Id="rId43" Type="http://schemas.openxmlformats.org/officeDocument/2006/relationships/hyperlink" Target="https://de.wikipedia.org/wiki/Die_Mars-Chroniken" TargetMode="External"/><Relationship Id="rId48" Type="http://schemas.openxmlformats.org/officeDocument/2006/relationships/hyperlink" Target="https://de.wikipedia.org/wiki/Der_Mann_ohne_Eigenschaften" TargetMode="External"/><Relationship Id="rId64" Type="http://schemas.openxmlformats.org/officeDocument/2006/relationships/hyperlink" Target="https://de.wikipedia.org/wiki/Ulysses" TargetMode="External"/><Relationship Id="rId69" Type="http://schemas.openxmlformats.org/officeDocument/2006/relationships/hyperlink" Target="https://de.wikipedia.org/wiki/Vom_Winde_verweht" TargetMode="External"/><Relationship Id="rId80" Type="http://schemas.openxmlformats.org/officeDocument/2006/relationships/hyperlink" Target="https://de.wikipedia.org/wiki/Ein_Zimmer_f%C3%BCr_sich_allein" TargetMode="External"/><Relationship Id="rId85" Type="http://schemas.openxmlformats.org/officeDocument/2006/relationships/hyperlink" Target="https://de.wikipedia.org/wiki/Manhattan_Transfer_(Roman)" TargetMode="External"/><Relationship Id="rId3" Type="http://schemas.openxmlformats.org/officeDocument/2006/relationships/hyperlink" Target="https://de.wikipedia.org/wiki/Der_Process" TargetMode="External"/><Relationship Id="rId12" Type="http://schemas.openxmlformats.org/officeDocument/2006/relationships/hyperlink" Target="https://de.wikipedia.org/wiki/Der_Blaue_Lotos" TargetMode="External"/><Relationship Id="rId17" Type="http://schemas.openxmlformats.org/officeDocument/2006/relationships/hyperlink" Target="https://de.wikipedia.org/w/index.php?title=Die_schwarze_Flamme&amp;action=edit&amp;redlink=1" TargetMode="External"/><Relationship Id="rId25" Type="http://schemas.openxmlformats.org/officeDocument/2006/relationships/hyperlink" Target="https://de.wikipedia.org/wiki/Das_Schweigen_des_Meeres" TargetMode="External"/><Relationship Id="rId33" Type="http://schemas.openxmlformats.org/officeDocument/2006/relationships/hyperlink" Target="https://de.wikipedia.org/wiki/Aur%C3%A9lien_(Roman)" TargetMode="External"/><Relationship Id="rId38" Type="http://schemas.openxmlformats.org/officeDocument/2006/relationships/hyperlink" Target="https://de.wikipedia.org/wiki/Am_Nullpunkt_der_Literatur" TargetMode="External"/><Relationship Id="rId46" Type="http://schemas.openxmlformats.org/officeDocument/2006/relationships/hyperlink" Target="https://de.wikipedia.org/w/index.php?title=Das_Theater_und_sein_Double&amp;action=edit&amp;redlink=1" TargetMode="External"/><Relationship Id="rId59" Type="http://schemas.openxmlformats.org/officeDocument/2006/relationships/hyperlink" Target="https://de.wikipedia.org/w/index.php?title=Paroles&amp;action=edit&amp;redlink=1" TargetMode="External"/><Relationship Id="rId67" Type="http://schemas.openxmlformats.org/officeDocument/2006/relationships/hyperlink" Target="https://de.wikipedia.org/wiki/Zazie_in_der_Metro" TargetMode="External"/><Relationship Id="rId20" Type="http://schemas.openxmlformats.org/officeDocument/2006/relationships/hyperlink" Target="https://de.wikipedia.org/wiki/Der_Husar_auf_dem_Dach_(Roman)" TargetMode="External"/><Relationship Id="rId41" Type="http://schemas.openxmlformats.org/officeDocument/2006/relationships/hyperlink" Target="https://de.wikipedia.org/wiki/Die_Ordnung_der_Dinge" TargetMode="External"/><Relationship Id="rId54" Type="http://schemas.openxmlformats.org/officeDocument/2006/relationships/hyperlink" Target="https://de.wikipedia.org/wiki/So_lebt_der_Mensch" TargetMode="External"/><Relationship Id="rId62" Type="http://schemas.openxmlformats.org/officeDocument/2006/relationships/hyperlink" Target="https://de.wikipedia.org/wiki/Sch%C3%B6ne_neue_Welt" TargetMode="External"/><Relationship Id="rId70" Type="http://schemas.openxmlformats.org/officeDocument/2006/relationships/hyperlink" Target="https://de.wikipedia.org/wiki/Lady_Chatterley" TargetMode="External"/><Relationship Id="rId75" Type="http://schemas.openxmlformats.org/officeDocument/2006/relationships/hyperlink" Target="https://de.wikipedia.org/w/index.php?title=Les_Vrilles_de_la_vigne&amp;action=edit&amp;redlink=1" TargetMode="External"/><Relationship Id="rId83" Type="http://schemas.openxmlformats.org/officeDocument/2006/relationships/hyperlink" Target="https://de.wikipedia.org/wiki/Lord_Jim" TargetMode="External"/><Relationship Id="rId88" Type="http://schemas.openxmlformats.org/officeDocument/2006/relationships/hyperlink" Target="https://de.wikipedia.org/wiki/Sophies_Entscheidung" TargetMode="External"/><Relationship Id="rId91" Type="http://schemas.openxmlformats.org/officeDocument/2006/relationships/hyperlink" Target="https://de.wikipedia.org/w/index.php?title=Notre-Dame-des-Fleurs&amp;action=edit&amp;redlink=1" TargetMode="External"/><Relationship Id="rId96" Type="http://schemas.openxmlformats.org/officeDocument/2006/relationships/hyperlink" Target="https://de.wikipedia.org/w/index.php?title=Seemarken&amp;action=edit&amp;redlink=1" TargetMode="External"/><Relationship Id="rId1" Type="http://schemas.openxmlformats.org/officeDocument/2006/relationships/hyperlink" Target="https://de.wikipedia.org/wiki/Der_Fremde" TargetMode="External"/><Relationship Id="rId6" Type="http://schemas.openxmlformats.org/officeDocument/2006/relationships/hyperlink" Target="https://de.wikipedia.org/wiki/Der_Schaum_der_Tage_(Roman)" TargetMode="External"/><Relationship Id="rId15" Type="http://schemas.openxmlformats.org/officeDocument/2006/relationships/hyperlink" Target="https://de.wikipedia.org/wiki/Die_kahle_S%C3%A4ngerin" TargetMode="External"/><Relationship Id="rId23" Type="http://schemas.openxmlformats.org/officeDocument/2006/relationships/hyperlink" Target="https://de.wikipedia.org/wiki/Der_Zauberberg" TargetMode="External"/><Relationship Id="rId28" Type="http://schemas.openxmlformats.org/officeDocument/2006/relationships/hyperlink" Target="https://de.wikipedia.org/wiki/Die_Sonne_Satans" TargetMode="External"/><Relationship Id="rId36" Type="http://schemas.openxmlformats.org/officeDocument/2006/relationships/hyperlink" Target="https://de.wikipedia.org/wiki/Krieg_der_Welten" TargetMode="External"/><Relationship Id="rId49" Type="http://schemas.openxmlformats.org/officeDocument/2006/relationships/hyperlink" Target="https://de.wikipedia.org/wiki/Der_F%C3%A4nger_im_Roggen" TargetMode="External"/><Relationship Id="rId57" Type="http://schemas.openxmlformats.org/officeDocument/2006/relationships/hyperlink" Target="https://de.wikipedia.org/wiki/Wem_die_Stunde_schl%C3%A4gt" TargetMode="External"/><Relationship Id="rId10" Type="http://schemas.openxmlformats.org/officeDocument/2006/relationships/hyperlink" Target="https://de.wikipedia.org/wiki/Der_Archipel_Gulag" TargetMode="External"/><Relationship Id="rId31" Type="http://schemas.openxmlformats.org/officeDocument/2006/relationships/hyperlink" Target="https://de.wikipedia.org/wiki/Die_Verachtung" TargetMode="External"/><Relationship Id="rId44" Type="http://schemas.openxmlformats.org/officeDocument/2006/relationships/hyperlink" Target="https://de.wikipedia.org/w/index.php?title=Die_Verz%C3%BCckung_der_Lol_V._Stein&amp;action=edit&amp;redlink=1" TargetMode="External"/><Relationship Id="rId52" Type="http://schemas.openxmlformats.org/officeDocument/2006/relationships/hyperlink" Target="https://de.wikipedia.org/wiki/Der_Meister_und_Margarita" TargetMode="External"/><Relationship Id="rId60" Type="http://schemas.openxmlformats.org/officeDocument/2006/relationships/hyperlink" Target="https://de.wikipedia.org/wiki/Tagebuch_der_Anne_Frank" TargetMode="External"/><Relationship Id="rId65" Type="http://schemas.openxmlformats.org/officeDocument/2006/relationships/hyperlink" Target="https://de.wikipedia.org/wiki/Hundert_Jahre_Einsamkeit" TargetMode="External"/><Relationship Id="rId73" Type="http://schemas.openxmlformats.org/officeDocument/2006/relationships/hyperlink" Target="https://de.wikipedia.org/w/index.php?title=Freitag_oder_Im_Schoss_des_Pazifik&amp;action=edit&amp;redlink=1" TargetMode="External"/><Relationship Id="rId78" Type="http://schemas.openxmlformats.org/officeDocument/2006/relationships/hyperlink" Target="https://de.wikipedia.org/wiki/Corto_Maltese" TargetMode="External"/><Relationship Id="rId81" Type="http://schemas.openxmlformats.org/officeDocument/2006/relationships/hyperlink" Target="https://de.wikipedia.org/w/index.php?title=Tropismen&amp;action=edit&amp;redlink=1" TargetMode="External"/><Relationship Id="rId86" Type="http://schemas.openxmlformats.org/officeDocument/2006/relationships/hyperlink" Target="https://de.wikipedia.org/wiki/Fiktionen" TargetMode="External"/><Relationship Id="rId94" Type="http://schemas.openxmlformats.org/officeDocument/2006/relationships/hyperlink" Target="https://de.wikipedia.org/w/index.php?title=Paris-Rom_oder_Die_Modifikation&amp;action=edit&amp;redlink=1" TargetMode="External"/><Relationship Id="rId99" Type="http://schemas.openxmlformats.org/officeDocument/2006/relationships/hyperlink" Target="https://de.wikipedia.org/wiki/Mitternachtskinder" TargetMode="External"/><Relationship Id="rId4" Type="http://schemas.openxmlformats.org/officeDocument/2006/relationships/hyperlink" Target="https://de.wikipedia.org/wiki/Der_kleine_Prinz" TargetMode="External"/><Relationship Id="rId9" Type="http://schemas.openxmlformats.org/officeDocument/2006/relationships/hyperlink" Target="https://de.wikipedia.org/wiki/Der_Name_der_Rose" TargetMode="External"/><Relationship Id="rId13" Type="http://schemas.openxmlformats.org/officeDocument/2006/relationships/hyperlink" Target="https://de.wikipedia.org/wiki/1984_(Roman)" TargetMode="External"/><Relationship Id="rId18" Type="http://schemas.openxmlformats.org/officeDocument/2006/relationships/hyperlink" Target="https://de.wikipedia.org/wiki/Die_Tatarenw%C3%BCste" TargetMode="External"/><Relationship Id="rId39" Type="http://schemas.openxmlformats.org/officeDocument/2006/relationships/hyperlink" Target="https://de.wikipedia.org/wiki/Die_verlorene_Ehre_der_Katharina_Blum" TargetMode="External"/><Relationship Id="rId34" Type="http://schemas.openxmlformats.org/officeDocument/2006/relationships/hyperlink" Target="https://de.wikipedia.org/w/index.php?title=Der_seidene_Schuh&amp;action=edit&amp;redlink=1" TargetMode="External"/><Relationship Id="rId50" Type="http://schemas.openxmlformats.org/officeDocument/2006/relationships/hyperlink" Target="https://de.wikipedia.org/wiki/Blake_und_Mortimer" TargetMode="External"/><Relationship Id="rId55" Type="http://schemas.openxmlformats.org/officeDocument/2006/relationships/hyperlink" Target="https://de.wikipedia.org/wiki/Reise_ans_Ende_der_Nacht" TargetMode="External"/><Relationship Id="rId76" Type="http://schemas.openxmlformats.org/officeDocument/2006/relationships/hyperlink" Target="https://de.wikipedia.org/w/index.php?title=Hauptstadt_der_Schmerzen&amp;action=edit&amp;redlink=1" TargetMode="External"/><Relationship Id="rId97" Type="http://schemas.openxmlformats.org/officeDocument/2006/relationships/hyperlink" Target="https://de.wikipedia.org/wiki/Gaston_(Comic)" TargetMode="External"/><Relationship Id="rId7" Type="http://schemas.openxmlformats.org/officeDocument/2006/relationships/hyperlink" Target="https://de.wikipedia.org/wiki/Das_andere_Geschlecht" TargetMode="External"/><Relationship Id="rId71" Type="http://schemas.openxmlformats.org/officeDocument/2006/relationships/hyperlink" Target="https://de.wikipedia.org/wiki/Nadja_(Roman)" TargetMode="External"/><Relationship Id="rId92" Type="http://schemas.openxmlformats.org/officeDocument/2006/relationships/hyperlink" Target="https://de.wikipedia.org/w/index.php?title=Fureur_et_myst%C3%A8re&amp;action=edit&amp;redlink=1" TargetMode="External"/><Relationship Id="rId2" Type="http://schemas.openxmlformats.org/officeDocument/2006/relationships/hyperlink" Target="https://de.wikipedia.org/wiki/Auf_der_Suche_nach_der_verlorenen_Zeit" TargetMode="External"/><Relationship Id="rId29" Type="http://schemas.openxmlformats.org/officeDocument/2006/relationships/hyperlink" Target="https://de.wikipedia.org/wiki/Der_gro%C3%9Fe_Gatsby" TargetMode="External"/><Relationship Id="rId24" Type="http://schemas.openxmlformats.org/officeDocument/2006/relationships/hyperlink" Target="https://de.wikipedia.org/wiki/Bonjour_tristesse_(Roman)" TargetMode="External"/><Relationship Id="rId40" Type="http://schemas.openxmlformats.org/officeDocument/2006/relationships/hyperlink" Target="https://de.wikipedia.org/w/index.php?title=Das_Ufer_der_Syrten&amp;action=edit&amp;redlink=1" TargetMode="External"/><Relationship Id="rId45" Type="http://schemas.openxmlformats.org/officeDocument/2006/relationships/hyperlink" Target="https://de.wikipedia.org/w/index.php?title=Das_Protokoll&amp;action=edit&amp;redlink=1" TargetMode="External"/><Relationship Id="rId66" Type="http://schemas.openxmlformats.org/officeDocument/2006/relationships/hyperlink" Target="https://de.wikipedia.org/wiki/Schall_und_Wahn" TargetMode="External"/><Relationship Id="rId87" Type="http://schemas.openxmlformats.org/officeDocument/2006/relationships/hyperlink" Target="https://de.wikipedia.org/wiki/Moloch._Das_Leben_des_Moravagine" TargetMode="External"/><Relationship Id="rId61" Type="http://schemas.openxmlformats.org/officeDocument/2006/relationships/hyperlink" Target="https://de.wikipedia.org/wiki/Traurige_Tropen" TargetMode="External"/><Relationship Id="rId82" Type="http://schemas.openxmlformats.org/officeDocument/2006/relationships/hyperlink" Target="https://de.wikipedia.org/w/index.php?title=Tageb%C3%BCcher_1887-1910&amp;action=edit&amp;redlink=1" TargetMode="External"/><Relationship Id="rId19" Type="http://schemas.openxmlformats.org/officeDocument/2006/relationships/hyperlink" Target="https://de.wikipedia.org/wiki/Die_Falschm%C3%BCnzer" TargetMode="External"/><Relationship Id="rId14" Type="http://schemas.openxmlformats.org/officeDocument/2006/relationships/hyperlink" Target="https://de.wikipedia.org/wiki/Asterix_der_Gallier_(Comic)" TargetMode="External"/><Relationship Id="rId30" Type="http://schemas.openxmlformats.org/officeDocument/2006/relationships/hyperlink" Target="https://de.wikipedia.org/wiki/Der_Scherz" TargetMode="External"/><Relationship Id="rId35" Type="http://schemas.openxmlformats.org/officeDocument/2006/relationships/hyperlink" Target="https://de.wikipedia.org/wiki/Der_aufhaltsame_Aufstieg_des_Arturo_Ui" TargetMode="External"/><Relationship Id="rId56" Type="http://schemas.openxmlformats.org/officeDocument/2006/relationships/hyperlink" Target="https://de.wikipedia.org/wiki/Fr%C3%BCchte_des_Zorns" TargetMode="External"/><Relationship Id="rId77" Type="http://schemas.openxmlformats.org/officeDocument/2006/relationships/hyperlink" Target="https://de.wikipedia.org/wiki/Martin_Eden" TargetMode="External"/><Relationship Id="rId8" Type="http://schemas.openxmlformats.org/officeDocument/2006/relationships/hyperlink" Target="https://de.wikipedia.org/wiki/Das_Sein_und_das_Nichts" TargetMode="External"/><Relationship Id="rId51" Type="http://schemas.openxmlformats.org/officeDocument/2006/relationships/hyperlink" Target="https://de.wikipedia.org/wiki/Die_Aufzeichnungen_des_Malte_Laurids_Brigge" TargetMode="External"/><Relationship Id="rId72" Type="http://schemas.openxmlformats.org/officeDocument/2006/relationships/hyperlink" Target="https://de.wikipedia.org/wiki/Sechs_Personen_suchen_einen_Autor" TargetMode="External"/><Relationship Id="rId93" Type="http://schemas.openxmlformats.org/officeDocument/2006/relationships/hyperlink" Target="https://de.wikipedia.org/w/index.php?title=Keine_Orchideen_f%C3%BCr_Mrs._Blandish&amp;action=edit&amp;redlink=1" TargetMode="External"/><Relationship Id="rId98" Type="http://schemas.openxmlformats.org/officeDocument/2006/relationships/hyperlink" Target="https://de.wikipedia.org/wiki/Unter_dem_Vulka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FC02E-8605-4AC3-A850-0A818963649E}">
  <sheetPr codeName="Tabelle8"/>
  <dimension ref="A1:K67"/>
  <sheetViews>
    <sheetView tabSelected="1" topLeftCell="A34" workbookViewId="0">
      <selection activeCell="G49" sqref="G49"/>
    </sheetView>
  </sheetViews>
  <sheetFormatPr baseColWidth="10" defaultRowHeight="14"/>
  <sheetData>
    <row r="1" spans="1:11">
      <c r="A1" s="2" t="s">
        <v>1871</v>
      </c>
    </row>
    <row r="2" spans="1:11">
      <c r="A2" t="s">
        <v>1858</v>
      </c>
    </row>
    <row r="4" spans="1:11">
      <c r="A4" t="s">
        <v>1859</v>
      </c>
      <c r="C4" t="s">
        <v>1856</v>
      </c>
    </row>
    <row r="5" spans="1:11">
      <c r="A5" t="s">
        <v>1860</v>
      </c>
    </row>
    <row r="6" spans="1:11">
      <c r="A6" t="s">
        <v>1861</v>
      </c>
    </row>
    <row r="7" spans="1:11">
      <c r="A7" t="s">
        <v>1888</v>
      </c>
    </row>
    <row r="8" spans="1:11">
      <c r="A8" t="s">
        <v>1857</v>
      </c>
    </row>
    <row r="9" spans="1:11">
      <c r="A9" t="s">
        <v>1863</v>
      </c>
      <c r="K9" s="1"/>
    </row>
    <row r="10" spans="1:11">
      <c r="A10" t="s">
        <v>1889</v>
      </c>
      <c r="K10" s="1"/>
    </row>
    <row r="12" spans="1:11">
      <c r="A12" s="1" t="s">
        <v>1862</v>
      </c>
    </row>
    <row r="13" spans="1:11">
      <c r="A13" t="s">
        <v>1</v>
      </c>
    </row>
    <row r="14" spans="1:11">
      <c r="A14" t="s">
        <v>2</v>
      </c>
    </row>
    <row r="15" spans="1:11">
      <c r="A15" t="s">
        <v>3</v>
      </c>
    </row>
    <row r="16" spans="1:11">
      <c r="A16" t="s">
        <v>4</v>
      </c>
    </row>
    <row r="17" spans="1:1">
      <c r="A17" t="s">
        <v>5</v>
      </c>
    </row>
    <row r="18" spans="1:1">
      <c r="A18" t="s">
        <v>6</v>
      </c>
    </row>
    <row r="19" spans="1:1">
      <c r="A19" t="s">
        <v>7</v>
      </c>
    </row>
    <row r="21" spans="1:1">
      <c r="A21" s="1" t="s">
        <v>1864</v>
      </c>
    </row>
    <row r="22" spans="1:1">
      <c r="A22" t="s">
        <v>8</v>
      </c>
    </row>
    <row r="23" spans="1:1">
      <c r="A23" t="s">
        <v>2</v>
      </c>
    </row>
    <row r="24" spans="1:1">
      <c r="A24" t="s">
        <v>3</v>
      </c>
    </row>
    <row r="25" spans="1:1">
      <c r="A25" t="s">
        <v>4</v>
      </c>
    </row>
    <row r="26" spans="1:1">
      <c r="A26" t="s">
        <v>5</v>
      </c>
    </row>
    <row r="27" spans="1:1">
      <c r="A27" t="s">
        <v>6</v>
      </c>
    </row>
    <row r="28" spans="1:1">
      <c r="A28" t="s">
        <v>7</v>
      </c>
    </row>
    <row r="30" spans="1:1">
      <c r="A30" s="1" t="s">
        <v>1865</v>
      </c>
    </row>
    <row r="31" spans="1:1">
      <c r="A31" t="s">
        <v>9</v>
      </c>
    </row>
    <row r="32" spans="1:1">
      <c r="A32" t="s">
        <v>6</v>
      </c>
    </row>
    <row r="33" spans="1:1">
      <c r="A33" t="s">
        <v>7</v>
      </c>
    </row>
    <row r="35" spans="1:1">
      <c r="A35" s="1" t="s">
        <v>1866</v>
      </c>
    </row>
    <row r="36" spans="1:1">
      <c r="A36" t="s">
        <v>10</v>
      </c>
    </row>
    <row r="37" spans="1:1">
      <c r="A37" t="s">
        <v>6</v>
      </c>
    </row>
    <row r="38" spans="1:1">
      <c r="A38" t="s">
        <v>7</v>
      </c>
    </row>
    <row r="40" spans="1:1">
      <c r="A40" s="1" t="s">
        <v>1875</v>
      </c>
    </row>
    <row r="41" spans="1:1">
      <c r="A41" t="s">
        <v>11</v>
      </c>
    </row>
    <row r="42" spans="1:1">
      <c r="A42" t="s">
        <v>6</v>
      </c>
    </row>
    <row r="43" spans="1:1">
      <c r="A43" t="s">
        <v>7</v>
      </c>
    </row>
    <row r="44" spans="1:1">
      <c r="A44" t="s">
        <v>1876</v>
      </c>
    </row>
    <row r="46" spans="1:1">
      <c r="A46" s="1" t="s">
        <v>1867</v>
      </c>
    </row>
    <row r="47" spans="1:1">
      <c r="A47" t="s">
        <v>12</v>
      </c>
    </row>
    <row r="49" spans="1:1">
      <c r="A49" t="s">
        <v>1868</v>
      </c>
    </row>
    <row r="51" spans="1:1">
      <c r="A51" t="s">
        <v>1877</v>
      </c>
    </row>
    <row r="52" spans="1:1">
      <c r="A52" t="s">
        <v>1878</v>
      </c>
    </row>
    <row r="53" spans="1:1">
      <c r="A53" t="s">
        <v>1879</v>
      </c>
    </row>
    <row r="54" spans="1:1">
      <c r="A54" t="s">
        <v>1881</v>
      </c>
    </row>
    <row r="55" spans="1:1">
      <c r="A55" t="s">
        <v>1880</v>
      </c>
    </row>
    <row r="56" spans="1:1">
      <c r="A56" t="s">
        <v>1882</v>
      </c>
    </row>
    <row r="57" spans="1:1">
      <c r="A57" t="s">
        <v>1883</v>
      </c>
    </row>
    <row r="58" spans="1:1">
      <c r="A58" t="s">
        <v>1884</v>
      </c>
    </row>
    <row r="59" spans="1:1">
      <c r="A59" t="s">
        <v>1885</v>
      </c>
    </row>
    <row r="60" spans="1:1">
      <c r="A60" t="s">
        <v>1890</v>
      </c>
    </row>
    <row r="61" spans="1:1">
      <c r="A61" t="s">
        <v>1886</v>
      </c>
    </row>
    <row r="62" spans="1:1">
      <c r="A62" t="s">
        <v>1887</v>
      </c>
    </row>
    <row r="64" spans="1:1">
      <c r="A64" t="s">
        <v>1869</v>
      </c>
    </row>
    <row r="65" spans="1:1">
      <c r="A65" t="s">
        <v>1874</v>
      </c>
    </row>
    <row r="66" spans="1:1">
      <c r="A66" t="s">
        <v>1870</v>
      </c>
    </row>
    <row r="67" spans="1:1">
      <c r="A67" t="s">
        <v>1891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B1D9B-E213-430C-9F12-468220E1D81F}">
  <sheetPr codeName="Tabelle1"/>
  <dimension ref="A1:R266"/>
  <sheetViews>
    <sheetView topLeftCell="A216" workbookViewId="0">
      <selection activeCell="B7" sqref="B7"/>
    </sheetView>
  </sheetViews>
  <sheetFormatPr baseColWidth="10" defaultRowHeight="14"/>
  <cols>
    <col min="1" max="1" width="27.1640625" bestFit="1" customWidth="1"/>
    <col min="2" max="2" width="26.33203125" customWidth="1"/>
    <col min="3" max="3" width="20" customWidth="1"/>
    <col min="4" max="4" width="14.33203125" customWidth="1"/>
    <col min="5" max="5" width="28.5" customWidth="1"/>
    <col min="6" max="6" width="28.6640625" customWidth="1"/>
    <col min="7" max="7" width="14.33203125" customWidth="1"/>
    <col min="8" max="8" width="25" bestFit="1" customWidth="1"/>
    <col min="18" max="18" width="10.83203125" style="3"/>
  </cols>
  <sheetData>
    <row r="1" spans="1:11">
      <c r="A1" s="1" t="s">
        <v>277</v>
      </c>
      <c r="B1" s="2" t="s">
        <v>510</v>
      </c>
      <c r="C1" s="4" t="s">
        <v>0</v>
      </c>
      <c r="E1" s="2" t="s">
        <v>518</v>
      </c>
      <c r="F1" s="4" t="s">
        <v>13</v>
      </c>
      <c r="H1" s="1" t="s">
        <v>14</v>
      </c>
      <c r="I1" t="s">
        <v>509</v>
      </c>
    </row>
    <row r="2" spans="1:11">
      <c r="A2" t="s">
        <v>278</v>
      </c>
      <c r="B2" t="str" cm="1">
        <f t="array" ref="B2">SLOOKUP(A2,H:H,H:H,0.6,0)</f>
        <v>23andMe</v>
      </c>
      <c r="C2" s="3" cm="1">
        <f t="array" ref="C2">IF(B2&lt;&gt;"",SimpleSim(A2,B2),"")</f>
        <v>0.65151515151515149</v>
      </c>
      <c r="D2" s="3"/>
      <c r="E2" t="str" cm="1">
        <f t="array" ref="E2">LLOOKUP(A2,H:H,H:H,0.6,0)</f>
        <v>23andMe</v>
      </c>
      <c r="F2" s="3" cm="1">
        <f t="array" ref="F2">IF(E2&lt;&gt;"",LevenshteinSimilarity(A2,E2),"")</f>
        <v>0.63636363636363635</v>
      </c>
      <c r="G2" s="3"/>
      <c r="H2" t="s">
        <v>15</v>
      </c>
      <c r="I2">
        <v>94041</v>
      </c>
      <c r="K2" t="s">
        <v>514</v>
      </c>
    </row>
    <row r="3" spans="1:11">
      <c r="A3" t="s">
        <v>279</v>
      </c>
      <c r="B3" t="str" cm="1">
        <f t="array" ref="B3">SLOOKUP(A3,H:H,H:H,0.6,0)</f>
        <v>280 Group</v>
      </c>
      <c r="C3" s="3" cm="1">
        <f t="array" ref="C3">IF(B3&lt;&gt;"",SimpleSim(A3,B3),"")</f>
        <v>0.64880952380952384</v>
      </c>
      <c r="D3" s="3"/>
      <c r="E3" t="str" cm="1">
        <f t="array" ref="E3">LLOOKUP(A3,H:H,H:H,0.6,0)</f>
        <v/>
      </c>
      <c r="F3" s="3" t="str" cm="1">
        <f t="array" ref="F3">IF(E3&lt;&gt;"",LevenshteinSimilarity(A3,E3),"")</f>
        <v/>
      </c>
      <c r="H3" t="s">
        <v>16</v>
      </c>
      <c r="I3">
        <v>95030</v>
      </c>
    </row>
    <row r="4" spans="1:11">
      <c r="A4" t="s">
        <v>384</v>
      </c>
      <c r="B4" t="str" cm="1">
        <f t="array" ref="B4">SLOOKUP(A4,H:H,H:H,0.6,0)</f>
        <v/>
      </c>
      <c r="C4" s="3" t="str" cm="1">
        <f t="array" ref="C4">IF(B4&lt;&gt;"",SimpleSim(A4,B4),"")</f>
        <v/>
      </c>
      <c r="D4" s="3"/>
      <c r="E4" t="str" cm="1">
        <f t="array" ref="E4">LLOOKUP(A4,H:H,H:H,0.6,0)</f>
        <v/>
      </c>
      <c r="F4" s="3" t="str" cm="1">
        <f t="array" ref="F4">IF(E4&lt;&gt;"",LevenshteinSimilarity(A4,E4),"")</f>
        <v/>
      </c>
      <c r="H4" t="s">
        <v>17</v>
      </c>
      <c r="I4">
        <v>94025</v>
      </c>
      <c r="K4" t="s">
        <v>515</v>
      </c>
    </row>
    <row r="5" spans="1:11">
      <c r="A5" t="s">
        <v>280</v>
      </c>
      <c r="B5" t="str" cm="1">
        <f t="array" ref="B5">SLOOKUP(A5,H:H,H:H,0.6,0)</f>
        <v>5AM Ventures</v>
      </c>
      <c r="C5" s="3" cm="1">
        <f t="array" ref="C5">IF(B5&lt;&gt;"",SimpleSim(A5,B5),"")</f>
        <v>0.72888888888888892</v>
      </c>
      <c r="D5" s="3"/>
      <c r="E5" t="str" cm="1">
        <f t="array" ref="E5">LLOOKUP(A5,H:H,H:H,0.6,0)</f>
        <v>5AM Ventures</v>
      </c>
      <c r="F5" s="3" cm="1">
        <f t="array" ref="F5">IF(E5&lt;&gt;"",LevenshteinSimilarity(A5,E5),"")</f>
        <v>0.66666666666666663</v>
      </c>
      <c r="H5" t="s">
        <v>18</v>
      </c>
      <c r="I5">
        <v>94025</v>
      </c>
    </row>
    <row r="6" spans="1:11">
      <c r="A6" t="s">
        <v>292</v>
      </c>
      <c r="B6" t="str" cm="1">
        <f t="array" ref="B6">SLOOKUP(A6,H:H,H:H,0.6,0)</f>
        <v/>
      </c>
      <c r="C6" s="3" t="str" cm="1">
        <f t="array" ref="C6">IF(B6&lt;&gt;"",SimpleSim(A6,B6),"")</f>
        <v/>
      </c>
      <c r="D6" s="3"/>
      <c r="E6" t="str" cm="1">
        <f t="array" ref="E6">LLOOKUP(A6,H:H,H:H,0.6,0)</f>
        <v/>
      </c>
      <c r="F6" s="3" t="str" cm="1">
        <f t="array" ref="F6">IF(E6&lt;&gt;"",LevenshteinSimilarity(A6,E6),"")</f>
        <v/>
      </c>
      <c r="H6" t="s">
        <v>19</v>
      </c>
      <c r="I6">
        <v>94041</v>
      </c>
      <c r="K6" t="s">
        <v>516</v>
      </c>
    </row>
    <row r="7" spans="1:11">
      <c r="A7" t="s">
        <v>348</v>
      </c>
      <c r="B7" t="str" cm="1">
        <f t="array" ref="B7">SLOOKUP(A7,H:H,H:H,0.6,0)</f>
        <v/>
      </c>
      <c r="C7" s="3" t="str" cm="1">
        <f t="array" ref="C7">IF(B7&lt;&gt;"",SimpleSim(A7,B7),"")</f>
        <v/>
      </c>
      <c r="D7" s="3"/>
      <c r="E7" t="str" cm="1">
        <f t="array" ref="E7">LLOOKUP(A7,H:H,H:H,0.6,0)</f>
        <v/>
      </c>
      <c r="F7" s="3" t="str" cm="1">
        <f t="array" ref="F7">IF(E7&lt;&gt;"",LevenshteinSimilarity(A7,E7),"")</f>
        <v/>
      </c>
      <c r="G7" s="3"/>
      <c r="H7" t="s">
        <v>20</v>
      </c>
      <c r="I7">
        <v>94066</v>
      </c>
    </row>
    <row r="8" spans="1:11">
      <c r="A8" t="s">
        <v>285</v>
      </c>
      <c r="B8" t="str" cm="1">
        <f t="array" ref="B8">SLOOKUP(A8,H:H,H:H,0.6,0)</f>
        <v/>
      </c>
      <c r="C8" s="3" t="str" cm="1">
        <f t="array" ref="C8">IF(B8&lt;&gt;"",SimpleSim(A8,B8),"")</f>
        <v/>
      </c>
      <c r="D8" s="3"/>
      <c r="E8" t="str" cm="1">
        <f t="array" ref="E8">LLOOKUP(A8,H:H,H:H,0.6,0)</f>
        <v/>
      </c>
      <c r="F8" s="3" t="str" cm="1">
        <f t="array" ref="F8">IF(E8&lt;&gt;"",LevenshteinSimilarity(A8,E8),"")</f>
        <v/>
      </c>
      <c r="G8" s="3"/>
      <c r="H8" t="s">
        <v>21</v>
      </c>
      <c r="I8">
        <v>94103</v>
      </c>
      <c r="K8" t="s">
        <v>519</v>
      </c>
    </row>
    <row r="9" spans="1:11">
      <c r="A9" t="s">
        <v>282</v>
      </c>
      <c r="B9" t="str" cm="1">
        <f t="array" ref="B9">SLOOKUP(A9,H:H,H:H,0.6,0)</f>
        <v>Addepar</v>
      </c>
      <c r="C9" s="3" cm="1">
        <f t="array" ref="C9">IF(B9&lt;&gt;"",SimpleSim(A9,B9),"")</f>
        <v>0.63636363636363635</v>
      </c>
      <c r="D9" s="3"/>
      <c r="E9" t="str" cm="1">
        <f t="array" ref="E9">LLOOKUP(A9,H:H,H:H,0.6,0)</f>
        <v>Addepar</v>
      </c>
      <c r="F9" s="3" cm="1">
        <f t="array" ref="F9">IF(E9&lt;&gt;"",LevenshteinSimilarity(A9,E9),"")</f>
        <v>0.63636363636363635</v>
      </c>
      <c r="G9" s="3"/>
      <c r="H9" t="s">
        <v>22</v>
      </c>
      <c r="I9">
        <v>94085</v>
      </c>
      <c r="K9" t="s">
        <v>520</v>
      </c>
    </row>
    <row r="10" spans="1:11">
      <c r="A10" t="s">
        <v>286</v>
      </c>
      <c r="B10" t="str" cm="1">
        <f t="array" ref="B10">SLOOKUP(A10,H:H,H:H,0.6,0)</f>
        <v>reputation.com</v>
      </c>
      <c r="C10" s="3" cm="1">
        <f t="array" ref="C10">IF(B10&lt;&gt;"",SimpleSim(A10,B10),"")</f>
        <v>0.75757575757575746</v>
      </c>
      <c r="D10" s="3"/>
      <c r="E10" t="str" cm="1">
        <f t="array" ref="E10">LLOOKUP(A10,H:H,H:H,0.6,0)</f>
        <v>Inflection.com</v>
      </c>
      <c r="F10" s="3" cm="1">
        <f t="array" ref="F10">IF(E10&lt;&gt;"",LevenshteinSimilarity(A10,E10),"")</f>
        <v>0.72727272727272729</v>
      </c>
      <c r="G10" s="3"/>
      <c r="H10" t="s">
        <v>23</v>
      </c>
      <c r="I10">
        <v>94063</v>
      </c>
      <c r="K10" t="s">
        <v>521</v>
      </c>
    </row>
    <row r="11" spans="1:11">
      <c r="A11" t="s">
        <v>288</v>
      </c>
      <c r="B11" t="str" cm="1">
        <f t="array" ref="B11">SLOOKUP(A11,H:H,H:H,0.6,0)</f>
        <v>Amazon</v>
      </c>
      <c r="C11" s="3" cm="1">
        <f t="array" ref="C11">IF(B11&lt;&gt;"",SimpleSim(A11,B11),"")</f>
        <v>0.64</v>
      </c>
      <c r="D11" s="3"/>
      <c r="E11" t="str" cm="1">
        <f t="array" ref="E11">LLOOKUP(A11,H:H,H:H,0.6,0)</f>
        <v>Amazon</v>
      </c>
      <c r="F11" s="3" cm="1">
        <f t="array" ref="F11">IF(E11&lt;&gt;"",LevenshteinSimilarity(A11,E11),"")</f>
        <v>0.6</v>
      </c>
      <c r="G11" s="3"/>
      <c r="H11" t="s">
        <v>24</v>
      </c>
      <c r="I11">
        <v>94403</v>
      </c>
    </row>
    <row r="12" spans="1:11">
      <c r="A12" t="s">
        <v>289</v>
      </c>
      <c r="B12" t="str" cm="1">
        <f t="array" ref="B12">SLOOKUP(A12,H:H,H:H,0.6,0)</f>
        <v>Ambient.ai</v>
      </c>
      <c r="C12" s="3" cm="1">
        <f t="array" ref="C12">IF(B12&lt;&gt;"",SimpleSim(A12,B12),"")</f>
        <v>1</v>
      </c>
      <c r="D12" s="3"/>
      <c r="E12" t="str" cm="1">
        <f t="array" ref="E12">LLOOKUP(A12,H:H,H:H,0.6,0)</f>
        <v>Ambient.ai</v>
      </c>
      <c r="F12" s="3" cm="1">
        <f t="array" ref="F12">IF(E12&lt;&gt;"",LevenshteinSimilarity(A12,E12),"")</f>
        <v>1</v>
      </c>
      <c r="G12" s="3"/>
      <c r="H12" t="s">
        <v>25</v>
      </c>
      <c r="I12">
        <v>94025</v>
      </c>
      <c r="K12" t="s">
        <v>512</v>
      </c>
    </row>
    <row r="13" spans="1:11">
      <c r="A13" t="s">
        <v>293</v>
      </c>
      <c r="B13" t="str" cm="1">
        <f t="array" ref="B13">SLOOKUP(A13,H:H,H:H,0.6,0)</f>
        <v>Anomali</v>
      </c>
      <c r="C13" s="3" cm="1">
        <f t="array" ref="C13">IF(B13&lt;&gt;"",SimpleSim(A13,B13),"")</f>
        <v>0.75757575757575746</v>
      </c>
      <c r="D13" s="3"/>
      <c r="E13" t="str" cm="1">
        <f t="array" ref="E13">LLOOKUP(A13,H:H,H:H,0.6,0)</f>
        <v>Anomali</v>
      </c>
      <c r="F13" s="3" cm="1">
        <f t="array" ref="F13">IF(E13&lt;&gt;"",LevenshteinSimilarity(A13,E13),"")</f>
        <v>0.63636363636363635</v>
      </c>
      <c r="G13" s="3"/>
      <c r="H13" t="s">
        <v>26</v>
      </c>
      <c r="I13">
        <v>94025</v>
      </c>
      <c r="K13" t="s">
        <v>513</v>
      </c>
    </row>
    <row r="14" spans="1:11">
      <c r="A14" t="s">
        <v>295</v>
      </c>
      <c r="B14" t="str" cm="1">
        <f t="array" ref="B14">SLOOKUP(A14,H:H,H:H,0.6,0)</f>
        <v>Apttus</v>
      </c>
      <c r="C14" s="3" cm="1">
        <f t="array" ref="C14">IF(B14&lt;&gt;"",SimpleSim(A14,B14),"")</f>
        <v>0.6</v>
      </c>
      <c r="D14" s="3"/>
      <c r="E14" t="str" cm="1">
        <f t="array" ref="E14">LLOOKUP(A14,H:H,H:H,0.6,0)</f>
        <v>Apttus</v>
      </c>
      <c r="F14" s="3" cm="1">
        <f t="array" ref="F14">IF(E14&lt;&gt;"",LevenshteinSimilarity(A14,E14),"")</f>
        <v>0.6</v>
      </c>
      <c r="G14" s="3"/>
      <c r="H14" t="s">
        <v>27</v>
      </c>
      <c r="I14">
        <v>94303</v>
      </c>
    </row>
    <row r="15" spans="1:11">
      <c r="A15" t="s">
        <v>296</v>
      </c>
      <c r="B15" t="str" cm="1">
        <f t="array" ref="B15">SLOOKUP(A15,H:H,H:H,0.6,0)</f>
        <v>Arista</v>
      </c>
      <c r="C15" s="3" cm="1">
        <f t="array" ref="C15">IF(B15&lt;&gt;"",SimpleSim(A15,B15),"")</f>
        <v>0.6</v>
      </c>
      <c r="D15" s="3"/>
      <c r="E15" t="str" cm="1">
        <f t="array" ref="E15">LLOOKUP(A15,H:H,H:H,0.6,0)</f>
        <v>Arista</v>
      </c>
      <c r="F15" s="3" cm="1">
        <f t="array" ref="F15">IF(E15&lt;&gt;"",LevenshteinSimilarity(A15,E15),"")</f>
        <v>0.6</v>
      </c>
      <c r="G15" s="3"/>
      <c r="H15" t="s">
        <v>28</v>
      </c>
      <c r="I15">
        <v>94301</v>
      </c>
    </row>
    <row r="16" spans="1:11">
      <c r="A16" t="s">
        <v>300</v>
      </c>
      <c r="B16" t="str" cm="1">
        <f t="array" ref="B16">SLOOKUP(A16,H:H,H:H,0.6,0)</f>
        <v/>
      </c>
      <c r="C16" s="3" t="str" cm="1">
        <f t="array" ref="C16">IF(B16&lt;&gt;"",SimpleSim(A16,B16),"")</f>
        <v/>
      </c>
      <c r="D16" s="3"/>
      <c r="E16" t="str" cm="1">
        <f t="array" ref="E16">LLOOKUP(A16,H:H,H:H,0.6,0)</f>
        <v/>
      </c>
      <c r="F16" s="3" t="str" cm="1">
        <f t="array" ref="F16">IF(E16&lt;&gt;"",LevenshteinSimilarity(A16,E16),"")</f>
        <v/>
      </c>
      <c r="G16" s="3"/>
      <c r="H16" t="s">
        <v>29</v>
      </c>
      <c r="I16">
        <v>95054</v>
      </c>
    </row>
    <row r="17" spans="1:9">
      <c r="A17" t="s">
        <v>303</v>
      </c>
      <c r="B17" t="str" cm="1">
        <f t="array" ref="B17">SLOOKUP(A17,H:H,H:H,0.6,0)</f>
        <v>Benevity</v>
      </c>
      <c r="C17" s="3" cm="1">
        <f t="array" ref="C17">IF(B17&lt;&gt;"",SimpleSim(A17,B17),"")</f>
        <v>0.66666666666666663</v>
      </c>
      <c r="D17" s="3"/>
      <c r="E17" t="str" cm="1">
        <f t="array" ref="E17">LLOOKUP(A17,H:H,H:H,0.6,0)</f>
        <v>Benevity</v>
      </c>
      <c r="F17" s="3" cm="1">
        <f t="array" ref="F17">IF(E17&lt;&gt;"",LevenshteinSimilarity(A17,E17),"")</f>
        <v>0.66666666666666663</v>
      </c>
      <c r="G17" s="3"/>
      <c r="H17" t="s">
        <v>30</v>
      </c>
      <c r="I17">
        <v>94043</v>
      </c>
    </row>
    <row r="18" spans="1:9">
      <c r="A18" t="s">
        <v>304</v>
      </c>
      <c r="B18" t="str" cm="1">
        <f t="array" ref="B18">SLOOKUP(A18,H:H,H:H,0.6,0)</f>
        <v>Betterworks</v>
      </c>
      <c r="C18" s="3" cm="1">
        <f t="array" ref="C18">IF(B18&lt;&gt;"",SimpleSim(A18,B18),"")</f>
        <v>0.7416666666666667</v>
      </c>
      <c r="D18" s="3"/>
      <c r="E18" t="str" cm="1">
        <f t="array" ref="E18">LLOOKUP(A18,H:H,H:H,0.6,0)</f>
        <v>Betterworks</v>
      </c>
      <c r="F18" s="3" cm="1">
        <f t="array" ref="F18">IF(E18&lt;&gt;"",LevenshteinSimilarity(A18,E18),"")</f>
        <v>0.73333333333333328</v>
      </c>
      <c r="G18" s="3"/>
      <c r="H18" t="s">
        <v>31</v>
      </c>
      <c r="I18">
        <v>94025</v>
      </c>
    </row>
    <row r="19" spans="1:9">
      <c r="A19" t="s">
        <v>307</v>
      </c>
      <c r="B19" t="str" cm="1">
        <f t="array" ref="B19">SLOOKUP(A19,H:H,H:H,0.6,0)</f>
        <v>BlueVine</v>
      </c>
      <c r="C19" s="3" cm="1">
        <f t="array" ref="C19">IF(B19&lt;&gt;"",SimpleSim(A19,B19),"")</f>
        <v>0.66666666666666663</v>
      </c>
      <c r="D19" s="3"/>
      <c r="E19" t="str" cm="1">
        <f t="array" ref="E19">LLOOKUP(A19,H:H,H:H,0.6,0)</f>
        <v>BlueVine</v>
      </c>
      <c r="F19" s="3" cm="1">
        <f t="array" ref="F19">IF(E19&lt;&gt;"",LevenshteinSimilarity(A19,E19),"")</f>
        <v>0.66666666666666663</v>
      </c>
      <c r="G19" s="3"/>
      <c r="H19" t="s">
        <v>32</v>
      </c>
      <c r="I19">
        <v>94063</v>
      </c>
    </row>
    <row r="20" spans="1:9">
      <c r="A20" t="s">
        <v>308</v>
      </c>
      <c r="B20" t="str" cm="1">
        <f t="array" ref="B20">SLOOKUP(A20,H:H,H:H,0.6,0)</f>
        <v/>
      </c>
      <c r="C20" s="3" t="str" cm="1">
        <f t="array" ref="C20">IF(B20&lt;&gt;"",SimpleSim(A20,B20),"")</f>
        <v/>
      </c>
      <c r="D20" s="3"/>
      <c r="E20" t="str" cm="1">
        <f t="array" ref="E20">LLOOKUP(A20,H:H,H:H,0.6,0)</f>
        <v>Broadcom</v>
      </c>
      <c r="F20" s="3" cm="1">
        <f t="array" ref="F20">IF(E20&lt;&gt;"",LevenshteinSimilarity(A20,E20),"")</f>
        <v>0.5714285714285714</v>
      </c>
      <c r="G20" s="3"/>
      <c r="H20" t="s">
        <v>33</v>
      </c>
      <c r="I20">
        <v>95014</v>
      </c>
    </row>
    <row r="21" spans="1:9">
      <c r="A21" t="s">
        <v>309</v>
      </c>
      <c r="B21" t="str" cm="1">
        <f t="array" ref="B21">SLOOKUP(A21,H:H,H:H,0.6,0)</f>
        <v>Branch</v>
      </c>
      <c r="C21" s="3" cm="1">
        <f t="array" ref="C21">IF(B21&lt;&gt;"",SimpleSim(A21,B21),"")</f>
        <v>0.66666666666666663</v>
      </c>
      <c r="D21" s="3"/>
      <c r="E21" t="str" cm="1">
        <f t="array" ref="E21">LLOOKUP(A21,H:H,H:H,0.6,0)</f>
        <v>Branch</v>
      </c>
      <c r="F21" s="3" cm="1">
        <f t="array" ref="F21">IF(E21&lt;&gt;"",LevenshteinSimilarity(A21,E21),"")</f>
        <v>0.66666666666666663</v>
      </c>
      <c r="G21" s="3"/>
      <c r="H21" t="s">
        <v>34</v>
      </c>
      <c r="I21">
        <v>94404</v>
      </c>
    </row>
    <row r="22" spans="1:9">
      <c r="A22" t="s">
        <v>312</v>
      </c>
      <c r="B22" t="str" cm="1">
        <f t="array" ref="B22">SLOOKUP(A22,H:H,H:H,0.6,0)</f>
        <v/>
      </c>
      <c r="C22" s="3" t="str" cm="1">
        <f t="array" ref="C22">IF(B22&lt;&gt;"",SimpleSim(A22,B22),"")</f>
        <v/>
      </c>
      <c r="D22" s="3"/>
      <c r="E22" t="str" cm="1">
        <f t="array" ref="E22">LLOOKUP(A22,H:H,H:H,0.6,0)</f>
        <v/>
      </c>
      <c r="F22" s="3" t="str" cm="1">
        <f t="array" ref="F22">IF(E22&lt;&gt;"",LevenshteinSimilarity(A22,E22),"")</f>
        <v/>
      </c>
      <c r="G22" s="3"/>
      <c r="H22" t="s">
        <v>35</v>
      </c>
      <c r="I22">
        <v>95054</v>
      </c>
    </row>
    <row r="23" spans="1:9">
      <c r="A23" t="s">
        <v>314</v>
      </c>
      <c r="B23" t="str" cm="1">
        <f t="array" ref="B23">SLOOKUP(A23,H:H,H:H,0.6,0)</f>
        <v>Carbon</v>
      </c>
      <c r="C23" s="3" cm="1">
        <f t="array" ref="C23">IF(B23&lt;&gt;"",SimpleSim(A23,B23),"")</f>
        <v>0.60416666666666663</v>
      </c>
      <c r="D23" s="3"/>
      <c r="E23" t="str" cm="1">
        <f t="array" ref="E23">LLOOKUP(A23,H:H,H:H,0.6,0)</f>
        <v/>
      </c>
      <c r="F23" s="3" t="str" cm="1">
        <f t="array" ref="F23">IF(E23&lt;&gt;"",LevenshteinSimilarity(A23,E23),"")</f>
        <v/>
      </c>
      <c r="G23" s="3"/>
      <c r="H23" t="s">
        <v>36</v>
      </c>
      <c r="I23">
        <v>94401</v>
      </c>
    </row>
    <row r="24" spans="1:9">
      <c r="A24" t="s">
        <v>315</v>
      </c>
      <c r="B24" t="str" cm="1">
        <f t="array" ref="B24">SLOOKUP(A24,H:H,H:H,0.6,0)</f>
        <v>Carta</v>
      </c>
      <c r="C24" s="3" cm="1">
        <f t="array" ref="C24">IF(B24&lt;&gt;"",SimpleSim(A24,B24),"")</f>
        <v>0.66666666666666663</v>
      </c>
      <c r="D24" s="3"/>
      <c r="E24" t="str" cm="1">
        <f t="array" ref="E24">LLOOKUP(A24,H:H,H:H,0.6,0)</f>
        <v/>
      </c>
      <c r="F24" s="3" t="str" cm="1">
        <f t="array" ref="F24">IF(E24&lt;&gt;"",LevenshteinSimilarity(A24,E24),"")</f>
        <v/>
      </c>
      <c r="G24" s="3"/>
      <c r="H24" t="s">
        <v>37</v>
      </c>
    </row>
    <row r="25" spans="1:9">
      <c r="A25" t="s">
        <v>317</v>
      </c>
      <c r="B25" t="str" cm="1">
        <f t="array" ref="B25">SLOOKUP(A25,H:H,H:H,0.6,0)</f>
        <v>CipherCloud</v>
      </c>
      <c r="C25" s="3" cm="1">
        <f t="array" ref="C25">IF(B25&lt;&gt;"",SimpleSim(A25,B25),"")</f>
        <v>0.80833333333333335</v>
      </c>
      <c r="D25" s="3"/>
      <c r="E25" t="str" cm="1">
        <f t="array" ref="E25">LLOOKUP(A25,H:H,H:H,0.6,0)</f>
        <v>CipherCloud</v>
      </c>
      <c r="F25" s="3" cm="1">
        <f t="array" ref="F25">IF(E25&lt;&gt;"",LevenshteinSimilarity(A25,E25),"")</f>
        <v>0.73333333333333328</v>
      </c>
      <c r="G25" s="3"/>
      <c r="H25" t="s">
        <v>38</v>
      </c>
      <c r="I25">
        <v>94538</v>
      </c>
    </row>
    <row r="26" spans="1:9">
      <c r="A26" t="s">
        <v>318</v>
      </c>
      <c r="B26" t="str" cm="1">
        <f t="array" ref="B26">SLOOKUP(A26,H:H,H:H,0.6,0)</f>
        <v>Cisco</v>
      </c>
      <c r="C26" s="3" cm="1">
        <f t="array" ref="C26">IF(B26&lt;&gt;"",SimpleSim(A26,B26),"")</f>
        <v>0.69444444444444442</v>
      </c>
      <c r="D26" s="3"/>
      <c r="E26" t="str" cm="1">
        <f t="array" ref="E26">LLOOKUP(A26,H:H,H:H,0.6,0)</f>
        <v/>
      </c>
      <c r="F26" s="3" t="str" cm="1">
        <f t="array" ref="F26">IF(E26&lt;&gt;"",LevenshteinSimilarity(A26,E26),"")</f>
        <v/>
      </c>
      <c r="G26" s="3"/>
      <c r="H26" t="s">
        <v>39</v>
      </c>
      <c r="I26">
        <v>94063</v>
      </c>
    </row>
    <row r="27" spans="1:9">
      <c r="A27" t="s">
        <v>321</v>
      </c>
      <c r="B27" t="str" cm="1">
        <f t="array" ref="B27">SLOOKUP(A27,H:H,H:H,0.6,0)</f>
        <v>Clover Network</v>
      </c>
      <c r="C27" s="3" cm="1">
        <f t="array" ref="C27">IF(B27&lt;&gt;"",SimpleSim(A27,B27),"")</f>
        <v>0.76249999999999996</v>
      </c>
      <c r="D27" s="3"/>
      <c r="E27" t="str" cm="1">
        <f t="array" ref="E27">LLOOKUP(A27,H:H,H:H,0.6,0)</f>
        <v/>
      </c>
      <c r="F27" s="3" t="str" cm="1">
        <f t="array" ref="F27">IF(E27&lt;&gt;"",LevenshteinSimilarity(A27,E27),"")</f>
        <v/>
      </c>
      <c r="G27" s="3"/>
      <c r="H27" t="s">
        <v>40</v>
      </c>
      <c r="I27">
        <v>94089</v>
      </c>
    </row>
    <row r="28" spans="1:9">
      <c r="A28" t="s">
        <v>322</v>
      </c>
      <c r="B28" t="str" cm="1">
        <f t="array" ref="B28">SLOOKUP(A28,H:H,H:H,0.6,0)</f>
        <v>Codexis</v>
      </c>
      <c r="C28" s="3" cm="1">
        <f t="array" ref="C28">IF(B28&lt;&gt;"",SimpleSim(A28,B28),"")</f>
        <v>0.81818181818181823</v>
      </c>
      <c r="D28" s="3"/>
      <c r="E28" t="str" cm="1">
        <f t="array" ref="E28">LLOOKUP(A28,H:H,H:H,0.6,0)</f>
        <v>Codexis</v>
      </c>
      <c r="F28" s="3" cm="1">
        <f t="array" ref="F28">IF(E28&lt;&gt;"",LevenshteinSimilarity(A28,E28),"")</f>
        <v>0.63636363636363635</v>
      </c>
      <c r="G28" s="3"/>
      <c r="H28" t="s">
        <v>41</v>
      </c>
      <c r="I28">
        <v>95008</v>
      </c>
    </row>
    <row r="29" spans="1:9">
      <c r="A29" t="s">
        <v>323</v>
      </c>
      <c r="B29" t="str" cm="1">
        <f t="array" ref="B29">SLOOKUP(A29,H:H,H:H,0.6,0)</f>
        <v>ColorTokens</v>
      </c>
      <c r="C29" s="3" cm="1">
        <f t="array" ref="C29">IF(B29&lt;&gt;"",SimpleSim(A29,B29),"")</f>
        <v>0.8666666666666667</v>
      </c>
      <c r="D29" s="3"/>
      <c r="E29" t="str" cm="1">
        <f t="array" ref="E29">LLOOKUP(A29,H:H,H:H,0.6,0)</f>
        <v>ColorTokens</v>
      </c>
      <c r="F29" s="3" cm="1">
        <f t="array" ref="F29">IF(E29&lt;&gt;"",LevenshteinSimilarity(A29,E29),"")</f>
        <v>0.73333333333333328</v>
      </c>
      <c r="G29" s="3"/>
      <c r="H29" t="s">
        <v>42</v>
      </c>
      <c r="I29">
        <v>94025</v>
      </c>
    </row>
    <row r="30" spans="1:9">
      <c r="A30" t="s">
        <v>324</v>
      </c>
      <c r="B30" t="str" cm="1">
        <f t="array" ref="B30">SLOOKUP(A30,H:H,H:H,0.6,0)</f>
        <v>CommonGenius</v>
      </c>
      <c r="C30" s="3" cm="1">
        <f t="array" ref="C30">IF(B30&lt;&gt;"",SimpleSim(A30,B30),"")</f>
        <v>0.9375</v>
      </c>
      <c r="D30" s="3"/>
      <c r="E30" t="str" cm="1">
        <f t="array" ref="E30">LLOOKUP(A30,H:H,H:H,0.6,0)</f>
        <v>CommonGenius</v>
      </c>
      <c r="F30" s="3" cm="1">
        <f t="array" ref="F30">IF(E30&lt;&gt;"",LevenshteinSimilarity(A30,E30),"")</f>
        <v>0.75</v>
      </c>
      <c r="G30" s="3"/>
      <c r="H30" t="s">
        <v>43</v>
      </c>
      <c r="I30">
        <v>94403</v>
      </c>
    </row>
    <row r="31" spans="1:9">
      <c r="A31" t="s">
        <v>325</v>
      </c>
      <c r="B31" t="str" cm="1">
        <f t="array" ref="B31">SLOOKUP(A31,H:H,H:H,0.6,0)</f>
        <v>Confident Cannabis</v>
      </c>
      <c r="C31" s="3" cm="1">
        <f t="array" ref="C31">IF(B31&lt;&gt;"",SimpleSim(A31,B31),"")</f>
        <v>0.84242424242424241</v>
      </c>
      <c r="D31" s="3"/>
      <c r="E31" t="str" cm="1">
        <f t="array" ref="E31">LLOOKUP(A31,H:H,H:H,0.6,0)</f>
        <v>Confident Cannabis</v>
      </c>
      <c r="F31" s="3" cm="1">
        <f t="array" ref="F31">IF(E31&lt;&gt;"",LevenshteinSimilarity(A31,E31),"")</f>
        <v>0.76190476190476186</v>
      </c>
      <c r="G31" s="3"/>
      <c r="H31" t="s">
        <v>44</v>
      </c>
      <c r="I31">
        <v>94063</v>
      </c>
    </row>
    <row r="32" spans="1:9">
      <c r="A32" t="s">
        <v>328</v>
      </c>
      <c r="B32" t="str" cm="1">
        <f t="array" ref="B32">SLOOKUP(A32,H:H,H:H,0.6,0)</f>
        <v>Cradlepoint</v>
      </c>
      <c r="C32" s="3" cm="1">
        <f t="array" ref="C32">IF(B32&lt;&gt;"",SimpleSim(A32,B32),"")</f>
        <v>0.80952380952380953</v>
      </c>
      <c r="D32" s="3"/>
      <c r="E32" t="str" cm="1">
        <f t="array" ref="E32">LLOOKUP(A32,H:H,H:H,0.6,0)</f>
        <v>Cradlepoint</v>
      </c>
      <c r="F32" s="3" cm="1">
        <f t="array" ref="F32">IF(E32&lt;&gt;"",LevenshteinSimilarity(A32,E32),"")</f>
        <v>0.73333333333333328</v>
      </c>
      <c r="G32" s="3"/>
      <c r="H32" t="s">
        <v>45</v>
      </c>
      <c r="I32">
        <v>94085</v>
      </c>
    </row>
    <row r="33" spans="1:9">
      <c r="A33" t="s">
        <v>329</v>
      </c>
      <c r="B33" t="str" cm="1">
        <f t="array" ref="B33">SLOOKUP(A33,H:H,H:H,0.6,0)</f>
        <v>Crossover Hub</v>
      </c>
      <c r="C33" s="3" cm="1">
        <f t="array" ref="C33">IF(B33&lt;&gt;"",SimpleSim(A33,B33),"")</f>
        <v>0.76818181818181819</v>
      </c>
      <c r="D33" s="3"/>
      <c r="E33" t="str" cm="1">
        <f t="array" ref="E33">LLOOKUP(A33,H:H,H:H,0.6,0)</f>
        <v>Crossover Hub</v>
      </c>
      <c r="F33" s="3" cm="1">
        <f t="array" ref="F33">IF(E33&lt;&gt;"",LevenshteinSimilarity(A33,E33),"")</f>
        <v>0.6875</v>
      </c>
      <c r="G33" s="3"/>
      <c r="H33" t="s">
        <v>46</v>
      </c>
      <c r="I33">
        <v>94043</v>
      </c>
    </row>
    <row r="34" spans="1:9">
      <c r="A34" t="s">
        <v>330</v>
      </c>
      <c r="B34" t="str" cm="1">
        <f t="array" ref="B34">SLOOKUP(A34,H:H,H:H,0.6,0)</f>
        <v>DataStax</v>
      </c>
      <c r="C34" s="3" cm="1">
        <f t="array" ref="C34">IF(B34&lt;&gt;"",SimpleSim(A34,B34),"")</f>
        <v>0.66666666666666663</v>
      </c>
      <c r="D34" s="3"/>
      <c r="E34" t="str" cm="1">
        <f t="array" ref="E34">LLOOKUP(A34,H:H,H:H,0.6,0)</f>
        <v>DataStax</v>
      </c>
      <c r="F34" s="3" cm="1">
        <f t="array" ref="F34">IF(E34&lt;&gt;"",LevenshteinSimilarity(A34,E34),"")</f>
        <v>0.66666666666666663</v>
      </c>
      <c r="G34" s="3"/>
      <c r="H34" t="s">
        <v>47</v>
      </c>
      <c r="I34">
        <v>94063</v>
      </c>
    </row>
    <row r="35" spans="1:9">
      <c r="A35" t="s">
        <v>331</v>
      </c>
      <c r="B35" t="str" cm="1">
        <f t="array" ref="B35">SLOOKUP(A35,H:H,H:H,0.6,0)</f>
        <v>Datavisor</v>
      </c>
      <c r="C35" s="3" cm="1">
        <f t="array" ref="C35">IF(B35&lt;&gt;"",SimpleSim(A35,B35),"")</f>
        <v>0.70192307692307687</v>
      </c>
      <c r="D35" s="3"/>
      <c r="E35" t="str" cm="1">
        <f t="array" ref="E35">LLOOKUP(A35,H:H,H:H,0.6,0)</f>
        <v>Datavisor</v>
      </c>
      <c r="F35" s="3" cm="1">
        <f t="array" ref="F35">IF(E35&lt;&gt;"",LevenshteinSimilarity(A35,E35),"")</f>
        <v>0.69230769230769229</v>
      </c>
      <c r="G35" s="3"/>
      <c r="H35" t="s">
        <v>48</v>
      </c>
      <c r="I35">
        <v>94063</v>
      </c>
    </row>
    <row r="36" spans="1:9">
      <c r="A36" t="s">
        <v>332</v>
      </c>
      <c r="B36" t="str" cm="1">
        <f t="array" ref="B36">SLOOKUP(A36,H:H,H:H,0.6,0)</f>
        <v>Datrium</v>
      </c>
      <c r="C36" s="3" cm="1">
        <f t="array" ref="C36">IF(B36&lt;&gt;"",SimpleSim(A36,B36),"")</f>
        <v>0.64935064935064934</v>
      </c>
      <c r="D36" s="3"/>
      <c r="E36" t="str" cm="1">
        <f t="array" ref="E36">LLOOKUP(A36,H:H,H:H,0.6,0)</f>
        <v>Datrium</v>
      </c>
      <c r="F36" s="3" cm="1">
        <f t="array" ref="F36">IF(E36&lt;&gt;"",LevenshteinSimilarity(A36,E36),"")</f>
        <v>0.63636363636363635</v>
      </c>
      <c r="G36" s="3"/>
      <c r="H36" t="s">
        <v>49</v>
      </c>
      <c r="I36">
        <v>94063</v>
      </c>
    </row>
    <row r="37" spans="1:9">
      <c r="A37" t="s">
        <v>333</v>
      </c>
      <c r="B37" t="str" cm="1">
        <f t="array" ref="B37">SLOOKUP(A37,H:H,H:H,0.6,0)</f>
        <v>Delphix</v>
      </c>
      <c r="C37" s="3" cm="1">
        <f t="array" ref="C37">IF(B37&lt;&gt;"",SimpleSim(A37,B37),"")</f>
        <v>0.63636363636363635</v>
      </c>
      <c r="D37" s="3"/>
      <c r="E37" t="str" cm="1">
        <f t="array" ref="E37">LLOOKUP(A37,H:H,H:H,0.6,0)</f>
        <v>Delphix</v>
      </c>
      <c r="F37" s="3" cm="1">
        <f t="array" ref="F37">IF(E37&lt;&gt;"",LevenshteinSimilarity(A37,E37),"")</f>
        <v>0.63636363636363635</v>
      </c>
      <c r="H37" t="s">
        <v>50</v>
      </c>
      <c r="I37">
        <v>94025</v>
      </c>
    </row>
    <row r="38" spans="1:9">
      <c r="A38" t="s">
        <v>334</v>
      </c>
      <c r="B38" t="str" cm="1">
        <f t="array" ref="B38">SLOOKUP(A38,H:H,H:H,0.6,0)</f>
        <v>DiDi Labs</v>
      </c>
      <c r="C38" s="3" cm="1">
        <f t="array" ref="C38">IF(B38&lt;&gt;"",SimpleSim(A38,B38),"")</f>
        <v>0.70512820512820507</v>
      </c>
      <c r="D38" s="3"/>
      <c r="E38" t="str" cm="1">
        <f t="array" ref="E38">LLOOKUP(A38,H:H,H:H,0.6,0)</f>
        <v>DiDi Labs</v>
      </c>
      <c r="F38" s="3" cm="1">
        <f t="array" ref="F38">IF(E38&lt;&gt;"",LevenshteinSimilarity(A38,E38),"")</f>
        <v>0.69230769230769229</v>
      </c>
      <c r="H38" t="s">
        <v>51</v>
      </c>
      <c r="I38">
        <v>95054</v>
      </c>
    </row>
    <row r="39" spans="1:9">
      <c r="A39" t="s">
        <v>336</v>
      </c>
      <c r="B39" t="str" cm="1">
        <f t="array" ref="B39">SLOOKUP(A39,H:H,H:H,0.6,0)</f>
        <v/>
      </c>
      <c r="C39" s="3" t="str" cm="1">
        <f t="array" ref="C39">IF(B39&lt;&gt;"",SimpleSim(A39,B39),"")</f>
        <v/>
      </c>
      <c r="D39" s="3"/>
      <c r="E39" t="str" cm="1">
        <f t="array" ref="E39">LLOOKUP(A39,H:H,H:H,0.6,0)</f>
        <v/>
      </c>
      <c r="F39" s="3" t="str" cm="1">
        <f t="array" ref="F39">IF(E39&lt;&gt;"",LevenshteinSimilarity(A39,E39),"")</f>
        <v/>
      </c>
      <c r="H39" t="s">
        <v>52</v>
      </c>
      <c r="I39">
        <v>95131</v>
      </c>
    </row>
    <row r="40" spans="1:9">
      <c r="A40" t="s">
        <v>337</v>
      </c>
      <c r="B40" t="str" cm="1">
        <f t="array" ref="B40">SLOOKUP(A40,H:H,H:H,0.6,0)</f>
        <v>Dokkio</v>
      </c>
      <c r="C40" s="3" cm="1">
        <f t="array" ref="C40">IF(B40&lt;&gt;"",SimpleSim(A40,B40),"")</f>
        <v>0.65</v>
      </c>
      <c r="D40" s="3"/>
      <c r="E40" t="str" cm="1">
        <f t="array" ref="E40">LLOOKUP(A40,H:H,H:H,0.6,0)</f>
        <v>Dokkio</v>
      </c>
      <c r="F40" s="3" cm="1">
        <f t="array" ref="F40">IF(E40&lt;&gt;"",LevenshteinSimilarity(A40,E40),"")</f>
        <v>0.6</v>
      </c>
      <c r="H40" t="s">
        <v>53</v>
      </c>
      <c r="I40">
        <v>94063</v>
      </c>
    </row>
    <row r="41" spans="1:9">
      <c r="A41" t="s">
        <v>341</v>
      </c>
      <c r="B41" t="str" cm="1">
        <f t="array" ref="B41">SLOOKUP(A41,H:H,H:H,0.6,0)</f>
        <v>reputation.com</v>
      </c>
      <c r="C41" s="3" cm="1">
        <f t="array" ref="C41">IF(B41&lt;&gt;"",SimpleSim(A41,B41),"")</f>
        <v>0.65833333333333333</v>
      </c>
      <c r="D41" s="3"/>
      <c r="E41" t="str" cm="1">
        <f t="array" ref="E41">LLOOKUP(A41,H:H,H:H,0.6,0)</f>
        <v/>
      </c>
      <c r="F41" s="3" t="str" cm="1">
        <f t="array" ref="F41">IF(E41&lt;&gt;"",LevenshteinSimilarity(A41,E41),"")</f>
        <v/>
      </c>
      <c r="H41" t="s">
        <v>54</v>
      </c>
      <c r="I41">
        <v>95134</v>
      </c>
    </row>
    <row r="42" spans="1:9">
      <c r="A42" t="s">
        <v>339</v>
      </c>
      <c r="B42" t="str" cm="1">
        <f t="array" ref="B42">SLOOKUP(A42,H:H,H:H,0.6,0)</f>
        <v>Egnyte</v>
      </c>
      <c r="C42" s="3" cm="1">
        <f t="array" ref="C42">IF(B42&lt;&gt;"",SimpleSim(A42,B42),"")</f>
        <v>0.6</v>
      </c>
      <c r="D42" s="3"/>
      <c r="E42" t="str" cm="1">
        <f t="array" ref="E42">LLOOKUP(A42,H:H,H:H,0.6,0)</f>
        <v>Egnyte</v>
      </c>
      <c r="F42" s="3" cm="1">
        <f t="array" ref="F42">IF(E42&lt;&gt;"",LevenshteinSimilarity(A42,E42),"")</f>
        <v>0.6</v>
      </c>
      <c r="H42" t="s">
        <v>55</v>
      </c>
      <c r="I42">
        <v>94025</v>
      </c>
    </row>
    <row r="43" spans="1:9">
      <c r="A43" t="s">
        <v>340</v>
      </c>
      <c r="B43" t="str" cm="1">
        <f t="array" ref="B43">SLOOKUP(A43,H:H,H:H,0.6,0)</f>
        <v>Elastic</v>
      </c>
      <c r="C43" s="3" cm="1">
        <f t="array" ref="C43">IF(B43&lt;&gt;"",SimpleSim(A43,B43),"")</f>
        <v>0.7142857142857143</v>
      </c>
      <c r="D43" s="3"/>
      <c r="E43" t="str" cm="1">
        <f t="array" ref="E43">LLOOKUP(A43,H:H,H:H,0.6,0)</f>
        <v>Elastic</v>
      </c>
      <c r="F43" s="3" cm="1">
        <f t="array" ref="F43">IF(E43&lt;&gt;"",LevenshteinSimilarity(A43,E43),"")</f>
        <v>0.7</v>
      </c>
      <c r="H43" t="s">
        <v>56</v>
      </c>
      <c r="I43">
        <v>94063</v>
      </c>
    </row>
    <row r="44" spans="1:9">
      <c r="A44" t="s">
        <v>342</v>
      </c>
      <c r="B44" t="str" cm="1">
        <f t="array" ref="B44">SLOOKUP(A44,H:H,H:H,0.6,0)</f>
        <v>EMC Data Domain</v>
      </c>
      <c r="C44" s="3" cm="1">
        <f t="array" ref="C44">IF(B44&lt;&gt;"",SimpleSim(A44,B44),"")</f>
        <v>0.77976190476190477</v>
      </c>
      <c r="D44" s="3"/>
      <c r="E44" t="str" cm="1">
        <f t="array" ref="E44">LLOOKUP(A44,H:H,H:H,0.6,0)</f>
        <v/>
      </c>
      <c r="F44" s="3" t="str" cm="1">
        <f t="array" ref="F44">IF(E44&lt;&gt;"",LevenshteinSimilarity(A44,E44),"")</f>
        <v/>
      </c>
      <c r="H44" t="s">
        <v>57</v>
      </c>
      <c r="I44">
        <v>94306</v>
      </c>
    </row>
    <row r="45" spans="1:9">
      <c r="A45" t="s">
        <v>343</v>
      </c>
      <c r="B45" t="str" cm="1">
        <f t="array" ref="B45">SLOOKUP(A45,H:H,H:H,0.6,0)</f>
        <v>Equinix</v>
      </c>
      <c r="C45" s="3" cm="1">
        <f t="array" ref="C45">IF(B45&lt;&gt;"",SimpleSim(A45,B45),"")</f>
        <v>0.63636363636363635</v>
      </c>
      <c r="D45" s="3"/>
      <c r="E45" t="str" cm="1">
        <f t="array" ref="E45">LLOOKUP(A45,H:H,H:H,0.6,0)</f>
        <v>Equinix</v>
      </c>
      <c r="F45" s="3" cm="1">
        <f t="array" ref="F45">IF(E45&lt;&gt;"",LevenshteinSimilarity(A45,E45),"")</f>
        <v>0.63636363636363635</v>
      </c>
      <c r="H45" t="s">
        <v>58</v>
      </c>
      <c r="I45">
        <v>94025</v>
      </c>
    </row>
    <row r="46" spans="1:9">
      <c r="A46" t="s">
        <v>344</v>
      </c>
      <c r="B46" t="str" cm="1">
        <f t="array" ref="B46">SLOOKUP(A46,H:H,H:H,0.6,0)</f>
        <v>Evernote</v>
      </c>
      <c r="C46" s="3" cm="1">
        <f t="array" ref="C46">IF(B46&lt;&gt;"",SimpleSim(A46,B46),"")</f>
        <v>0.68055555555555547</v>
      </c>
      <c r="D46" s="3"/>
      <c r="E46" t="str" cm="1">
        <f t="array" ref="E46">LLOOKUP(A46,H:H,H:H,0.6,0)</f>
        <v>Evernote</v>
      </c>
      <c r="F46" s="3" cm="1">
        <f t="array" ref="F46">IF(E46&lt;&gt;"",LevenshteinSimilarity(A46,E46),"")</f>
        <v>0.66666666666666663</v>
      </c>
      <c r="H46" t="s">
        <v>59</v>
      </c>
      <c r="I46">
        <v>95054</v>
      </c>
    </row>
    <row r="47" spans="1:9">
      <c r="A47" t="s">
        <v>346</v>
      </c>
      <c r="B47" t="str" cm="1">
        <f t="array" ref="B47">SLOOKUP(A47,H:H,H:H,0.6,0)</f>
        <v>Fanatics</v>
      </c>
      <c r="C47" s="3" cm="1">
        <f t="array" ref="C47">IF(B47&lt;&gt;"",SimpleSim(A47,B47),"")</f>
        <v>0.67857142857142849</v>
      </c>
      <c r="D47" s="3"/>
      <c r="E47" t="str" cm="1">
        <f t="array" ref="E47">LLOOKUP(A47,H:H,H:H,0.6,0)</f>
        <v>Fanatics</v>
      </c>
      <c r="F47" s="3" cm="1">
        <f t="array" ref="F47">IF(E47&lt;&gt;"",LevenshteinSimilarity(A47,E47),"")</f>
        <v>0.66666666666666663</v>
      </c>
      <c r="H47" t="s">
        <v>60</v>
      </c>
      <c r="I47">
        <v>95110</v>
      </c>
    </row>
    <row r="48" spans="1:9">
      <c r="A48" t="s">
        <v>349</v>
      </c>
      <c r="B48" t="str" cm="1">
        <f t="array" ref="B48">SLOOKUP(A48,H:H,H:H,0.6,0)</f>
        <v>Forcepoint</v>
      </c>
      <c r="C48" s="3" cm="1">
        <f t="array" ref="C48">IF(B48&lt;&gt;"",SimpleSim(A48,B48),"")</f>
        <v>0.75595238095238104</v>
      </c>
      <c r="D48" s="3"/>
      <c r="E48" t="str" cm="1">
        <f t="array" ref="E48">LLOOKUP(A48,H:H,H:H,0.6,0)</f>
        <v>Forcepoint</v>
      </c>
      <c r="F48" s="3" cm="1">
        <f t="array" ref="F48">IF(E48&lt;&gt;"",LevenshteinSimilarity(A48,E48),"")</f>
        <v>0.7142857142857143</v>
      </c>
      <c r="H48" t="s">
        <v>61</v>
      </c>
      <c r="I48">
        <v>95134</v>
      </c>
    </row>
    <row r="49" spans="1:9">
      <c r="A49" t="s">
        <v>350</v>
      </c>
      <c r="B49" t="str" cm="1">
        <f t="array" ref="B49">SLOOKUP(A49,H:H,H:H,0.6,0)</f>
        <v>Gainsight</v>
      </c>
      <c r="C49" s="3" cm="1">
        <f t="array" ref="C49">IF(B49&lt;&gt;"",SimpleSim(A49,B49),"")</f>
        <v>0.69230769230769229</v>
      </c>
      <c r="D49" s="3"/>
      <c r="E49" t="str" cm="1">
        <f t="array" ref="E49">LLOOKUP(A49,H:H,H:H,0.6,0)</f>
        <v>Gainsight</v>
      </c>
      <c r="F49" s="3" cm="1">
        <f t="array" ref="F49">IF(E49&lt;&gt;"",LevenshteinSimilarity(A49,E49),"")</f>
        <v>0.69230769230769229</v>
      </c>
      <c r="H49" t="s">
        <v>62</v>
      </c>
      <c r="I49">
        <v>95050</v>
      </c>
    </row>
    <row r="50" spans="1:9">
      <c r="A50" t="s">
        <v>351</v>
      </c>
      <c r="B50" t="str" cm="1">
        <f t="array" ref="B50">SLOOKUP(A50,H:H,H:H,0.6,0)</f>
        <v>GarageScript</v>
      </c>
      <c r="C50" s="3" cm="1">
        <f t="array" ref="C50">IF(B50&lt;&gt;"",SimpleSim(A50,B50),"")</f>
        <v>0.80208333333333337</v>
      </c>
      <c r="D50" s="3"/>
      <c r="E50" t="str" cm="1">
        <f t="array" ref="E50">LLOOKUP(A50,H:H,H:H,0.6,0)</f>
        <v>GarageScript</v>
      </c>
      <c r="F50" s="3" cm="1">
        <f t="array" ref="F50">IF(E50&lt;&gt;"",LevenshteinSimilarity(A50,E50),"")</f>
        <v>0.75</v>
      </c>
      <c r="H50" t="s">
        <v>63</v>
      </c>
      <c r="I50">
        <v>95110</v>
      </c>
    </row>
    <row r="51" spans="1:9">
      <c r="A51" t="s">
        <v>352</v>
      </c>
      <c r="B51" t="str" cm="1">
        <f t="array" ref="B51">SLOOKUP(A51,H:H,H:H,0.6,0)</f>
        <v>GenapSys</v>
      </c>
      <c r="C51" s="3" cm="1">
        <f t="array" ref="C51">IF(B51&lt;&gt;"",SimpleSim(A51,B51),"")</f>
        <v>0.66666666666666663</v>
      </c>
      <c r="D51" s="3"/>
      <c r="E51" t="str" cm="1">
        <f t="array" ref="E51">LLOOKUP(A51,H:H,H:H,0.6,0)</f>
        <v>GenapSys</v>
      </c>
      <c r="F51" s="3" cm="1">
        <f t="array" ref="F51">IF(E51&lt;&gt;"",LevenshteinSimilarity(A51,E51),"")</f>
        <v>0.66666666666666663</v>
      </c>
      <c r="H51" t="s">
        <v>64</v>
      </c>
      <c r="I51">
        <v>94085</v>
      </c>
    </row>
    <row r="52" spans="1:9">
      <c r="A52" t="s">
        <v>353</v>
      </c>
      <c r="B52" t="str" cm="1">
        <f t="array" ref="B52">SLOOKUP(A52,H:H,H:H,0.6,0)</f>
        <v>Genomic Health</v>
      </c>
      <c r="C52" s="3" cm="1">
        <f t="array" ref="C52">IF(B52&lt;&gt;"",SimpleSim(A52,B52),"")</f>
        <v>0.832843137254902</v>
      </c>
      <c r="D52" s="3"/>
      <c r="E52" t="str" cm="1">
        <f t="array" ref="E52">LLOOKUP(A52,H:H,H:H,0.6,0)</f>
        <v>Genomic Health</v>
      </c>
      <c r="F52" s="3" cm="1">
        <f t="array" ref="F52">IF(E52&lt;&gt;"",LevenshteinSimilarity(A52,E52),"")</f>
        <v>0.70588235294117652</v>
      </c>
      <c r="H52" t="s">
        <v>65</v>
      </c>
      <c r="I52">
        <v>94063</v>
      </c>
    </row>
    <row r="53" spans="1:9">
      <c r="A53" t="s">
        <v>409</v>
      </c>
      <c r="B53" t="str" cm="1">
        <f t="array" ref="B53">SLOOKUP(A53,H:H,H:H,0.6,0)</f>
        <v/>
      </c>
      <c r="C53" s="3" t="str" cm="1">
        <f t="array" ref="C53">IF(B53&lt;&gt;"",SimpleSim(A53,B53),"")</f>
        <v/>
      </c>
      <c r="D53" s="3"/>
      <c r="E53" t="str" cm="1">
        <f t="array" ref="E53">LLOOKUP(A53,H:H,H:H,0.6,0)</f>
        <v/>
      </c>
      <c r="F53" s="3" t="str" cm="1">
        <f t="array" ref="F53">IF(E53&lt;&gt;"",LevenshteinSimilarity(A53,E53),"")</f>
        <v/>
      </c>
      <c r="H53" t="s">
        <v>66</v>
      </c>
      <c r="I53">
        <v>95054</v>
      </c>
    </row>
    <row r="54" spans="1:9">
      <c r="A54" t="s">
        <v>354</v>
      </c>
      <c r="B54" t="str" cm="1">
        <f t="array" ref="B54">SLOOKUP(A54,H:H,H:H,0.6,0)</f>
        <v/>
      </c>
      <c r="C54" s="3" t="str" cm="1">
        <f t="array" ref="C54">IF(B54&lt;&gt;"",SimpleSim(A54,B54),"")</f>
        <v/>
      </c>
      <c r="D54" s="3"/>
      <c r="E54" t="str" cm="1">
        <f t="array" ref="E54">LLOOKUP(A54,H:H,H:H,0.6,0)</f>
        <v/>
      </c>
      <c r="F54" s="3" t="str" cm="1">
        <f t="array" ref="F54">IF(E54&lt;&gt;"",LevenshteinSimilarity(A54,E54),"")</f>
        <v/>
      </c>
      <c r="H54" t="s">
        <v>67</v>
      </c>
      <c r="I54">
        <v>94025</v>
      </c>
    </row>
    <row r="55" spans="1:9">
      <c r="A55" t="s">
        <v>355</v>
      </c>
      <c r="B55" t="str" cm="1">
        <f t="array" ref="B55">SLOOKUP(A55,H:H,H:H,0.6,0)</f>
        <v>Globalfoundries</v>
      </c>
      <c r="C55" s="3" cm="1">
        <f t="array" ref="C55">IF(B55&lt;&gt;"",SimpleSim(A55,B55),"")</f>
        <v>0.80701754385964919</v>
      </c>
      <c r="D55" s="3"/>
      <c r="E55" t="str" cm="1">
        <f t="array" ref="E55">LLOOKUP(A55,H:H,H:H,0.6,0)</f>
        <v>Globalfoundries</v>
      </c>
      <c r="F55" s="3" cm="1">
        <f t="array" ref="F55">IF(E55&lt;&gt;"",LevenshteinSimilarity(A55,E55),"")</f>
        <v>0.78947368421052633</v>
      </c>
      <c r="H55" t="s">
        <v>68</v>
      </c>
      <c r="I55">
        <v>95113</v>
      </c>
    </row>
    <row r="56" spans="1:9">
      <c r="A56" t="s">
        <v>492</v>
      </c>
      <c r="B56" t="str" cm="1">
        <f t="array" ref="B56">SLOOKUP(A56,H:H,H:H,0.6,0)</f>
        <v/>
      </c>
      <c r="C56" s="3" t="str" cm="1">
        <f t="array" ref="C56">IF(B56&lt;&gt;"",SimpleSim(A56,B56),"")</f>
        <v/>
      </c>
      <c r="D56" s="3"/>
      <c r="E56" t="str" cm="1">
        <f t="array" ref="E56">LLOOKUP(A56,H:H,H:H,0.6,0)</f>
        <v/>
      </c>
      <c r="F56" s="3" t="str" cm="1">
        <f t="array" ref="F56">IF(E56&lt;&gt;"",LevenshteinSimilarity(A56,E56),"")</f>
        <v/>
      </c>
      <c r="H56" t="s">
        <v>69</v>
      </c>
    </row>
    <row r="57" spans="1:9">
      <c r="A57" t="s">
        <v>358</v>
      </c>
      <c r="B57" t="str" cm="1">
        <f t="array" ref="B57">SLOOKUP(A57,H:H,H:H,0.6,0)</f>
        <v>GoodRx</v>
      </c>
      <c r="C57" s="3" cm="1">
        <f t="array" ref="C57">IF(B57&lt;&gt;"",SimpleSim(A57,B57),"")</f>
        <v>0.65</v>
      </c>
      <c r="D57" s="3"/>
      <c r="E57" t="str" cm="1">
        <f t="array" ref="E57">LLOOKUP(A57,H:H,H:H,0.6,0)</f>
        <v>GoodRx</v>
      </c>
      <c r="F57" s="3" cm="1">
        <f t="array" ref="F57">IF(E57&lt;&gt;"",LevenshteinSimilarity(A57,E57),"")</f>
        <v>0.6</v>
      </c>
      <c r="H57" t="s">
        <v>70</v>
      </c>
      <c r="I57">
        <v>94063</v>
      </c>
    </row>
    <row r="58" spans="1:9">
      <c r="A58" t="s">
        <v>359</v>
      </c>
      <c r="B58" t="str" cm="1">
        <f t="array" ref="B58">SLOOKUP(A58,H:H,H:H,0.6,0)</f>
        <v>Google</v>
      </c>
      <c r="C58" s="3" cm="1">
        <f t="array" ref="C58">IF(B58&lt;&gt;"",SimpleSim(A58,B58),"")</f>
        <v>0.65</v>
      </c>
      <c r="D58" s="3"/>
      <c r="E58" t="str" cm="1">
        <f t="array" ref="E58">LLOOKUP(A58,H:H,H:H,0.6,0)</f>
        <v>Google</v>
      </c>
      <c r="F58" s="3" cm="1">
        <f t="array" ref="F58">IF(E58&lt;&gt;"",LevenshteinSimilarity(A58,E58),"")</f>
        <v>0.6</v>
      </c>
      <c r="H58" t="s">
        <v>71</v>
      </c>
      <c r="I58">
        <v>94041</v>
      </c>
    </row>
    <row r="59" spans="1:9">
      <c r="A59" t="s">
        <v>361</v>
      </c>
      <c r="B59" t="str" cm="1">
        <f t="array" ref="B59">SLOOKUP(A59,H:H,H:H,0.6,0)</f>
        <v>Greenfield Labs</v>
      </c>
      <c r="C59" s="3" cm="1">
        <f t="array" ref="C59">IF(B59&lt;&gt;"",SimpleSim(A59,B59),"")</f>
        <v>0.75925925925925919</v>
      </c>
      <c r="D59" s="3"/>
      <c r="E59" t="str" cm="1">
        <f t="array" ref="E59">LLOOKUP(A59,H:H,H:H,0.6,0)</f>
        <v>Greenfield Labs</v>
      </c>
      <c r="F59" s="3" cm="1">
        <f t="array" ref="F59">IF(E59&lt;&gt;"",LevenshteinSimilarity(A59,E59),"")</f>
        <v>0.72222222222222221</v>
      </c>
      <c r="H59" t="s">
        <v>72</v>
      </c>
      <c r="I59">
        <v>95032</v>
      </c>
    </row>
    <row r="60" spans="1:9">
      <c r="A60" t="s">
        <v>362</v>
      </c>
      <c r="B60" t="str" cm="1">
        <f t="array" ref="B60">SLOOKUP(A60,H:H,H:H,0.6,0)</f>
        <v>Greylock Partners</v>
      </c>
      <c r="C60" s="3" cm="1">
        <f t="array" ref="C60">IF(B60&lt;&gt;"",SimpleSim(A60,B60),"")</f>
        <v>0.79861111111111116</v>
      </c>
      <c r="D60" s="3"/>
      <c r="E60" t="str" cm="1">
        <f t="array" ref="E60">LLOOKUP(A60,H:H,H:H,0.6,0)</f>
        <v/>
      </c>
      <c r="F60" s="3" t="str" cm="1">
        <f t="array" ref="F60">IF(E60&lt;&gt;"",LevenshteinSimilarity(A60,E60),"")</f>
        <v/>
      </c>
      <c r="H60" t="s">
        <v>73</v>
      </c>
      <c r="I60">
        <v>94538</v>
      </c>
    </row>
    <row r="61" spans="1:9">
      <c r="A61" t="s">
        <v>363</v>
      </c>
      <c r="B61" t="str" cm="1">
        <f t="array" ref="B61">SLOOKUP(A61,H:H,H:H,0.6,0)</f>
        <v>Groupon</v>
      </c>
      <c r="C61" s="3" cm="1">
        <f t="array" ref="C61">IF(B61&lt;&gt;"",SimpleSim(A61,B61),"")</f>
        <v>0.66666666666666663</v>
      </c>
      <c r="D61" s="3"/>
      <c r="E61" t="str" cm="1">
        <f t="array" ref="E61">LLOOKUP(A61,H:H,H:H,0.6,0)</f>
        <v>Groupon</v>
      </c>
      <c r="F61" s="3" cm="1">
        <f t="array" ref="F61">IF(E61&lt;&gt;"",LevenshteinSimilarity(A61,E61),"")</f>
        <v>0.63636363636363635</v>
      </c>
      <c r="H61" t="s">
        <v>74</v>
      </c>
      <c r="I61">
        <v>95054</v>
      </c>
    </row>
    <row r="62" spans="1:9">
      <c r="A62" t="s">
        <v>366</v>
      </c>
      <c r="B62" t="str" cm="1">
        <f t="array" ref="B62">SLOOKUP(A62,H:H,H:H,0.6,0)</f>
        <v>HackerRank</v>
      </c>
      <c r="C62" s="3" cm="1">
        <f t="array" ref="C62">IF(B62&lt;&gt;"",SimpleSim(A62,B62),"")</f>
        <v>0.73809523809523814</v>
      </c>
      <c r="D62" s="3"/>
      <c r="E62" t="str" cm="1">
        <f t="array" ref="E62">LLOOKUP(A62,H:H,H:H,0.6,0)</f>
        <v>HackerRank</v>
      </c>
      <c r="F62" s="3" cm="1">
        <f t="array" ref="F62">IF(E62&lt;&gt;"",LevenshteinSimilarity(A62,E62),"")</f>
        <v>0.7142857142857143</v>
      </c>
      <c r="H62" t="s">
        <v>75</v>
      </c>
      <c r="I62">
        <v>94043</v>
      </c>
    </row>
    <row r="63" spans="1:9">
      <c r="A63" t="s">
        <v>367</v>
      </c>
      <c r="B63" t="str" cm="1">
        <f t="array" ref="B63">SLOOKUP(A63,H:H,H:H,0.6,0)</f>
        <v>Harmonic</v>
      </c>
      <c r="C63" s="3" cm="1">
        <f t="array" ref="C63">IF(B63&lt;&gt;"",SimpleSim(A63,B63),"")</f>
        <v>0.65500000000000003</v>
      </c>
      <c r="D63" s="3"/>
      <c r="E63" t="str" cm="1">
        <f t="array" ref="E63">LLOOKUP(A63,H:H,H:H,0.6,0)</f>
        <v/>
      </c>
      <c r="F63" s="3" t="str" cm="1">
        <f t="array" ref="F63">IF(E63&lt;&gt;"",LevenshteinSimilarity(A63,E63),"")</f>
        <v/>
      </c>
      <c r="H63" t="s">
        <v>76</v>
      </c>
      <c r="I63">
        <v>94089</v>
      </c>
    </row>
    <row r="64" spans="1:9">
      <c r="A64" t="s">
        <v>368</v>
      </c>
      <c r="B64" t="str" cm="1">
        <f t="array" ref="B64">SLOOKUP(A64,H:H,H:H,0.6,0)</f>
        <v>Health Gorilla</v>
      </c>
      <c r="C64" s="3" cm="1">
        <f t="array" ref="C64">IF(B64&lt;&gt;"",SimpleSim(A64,B64),"")</f>
        <v>0.74836601307189543</v>
      </c>
      <c r="D64" s="3"/>
      <c r="E64" t="str" cm="1">
        <f t="array" ref="E64">LLOOKUP(A64,H:H,H:H,0.6,0)</f>
        <v>Health Gorilla</v>
      </c>
      <c r="F64" s="3" cm="1">
        <f t="array" ref="F64">IF(E64&lt;&gt;"",LevenshteinSimilarity(A64,E64),"")</f>
        <v>0.70588235294117652</v>
      </c>
      <c r="H64" t="s">
        <v>77</v>
      </c>
      <c r="I64">
        <v>94025</v>
      </c>
    </row>
    <row r="65" spans="1:9">
      <c r="A65" t="s">
        <v>369</v>
      </c>
      <c r="B65" t="str" cm="1">
        <f t="array" ref="B65">SLOOKUP(A65,H:H,H:H,0.6,0)</f>
        <v>HeartFlow</v>
      </c>
      <c r="C65" s="3" cm="1">
        <f t="array" ref="C65">IF(B65&lt;&gt;"",SimpleSim(A65,B65),"")</f>
        <v>0.70192307692307687</v>
      </c>
      <c r="D65" s="3"/>
      <c r="E65" t="str" cm="1">
        <f t="array" ref="E65">LLOOKUP(A65,H:H,H:H,0.6,0)</f>
        <v>HeartFlow</v>
      </c>
      <c r="F65" s="3" cm="1">
        <f t="array" ref="F65">IF(E65&lt;&gt;"",LevenshteinSimilarity(A65,E65),"")</f>
        <v>0.69230769230769229</v>
      </c>
      <c r="H65" t="s">
        <v>78</v>
      </c>
      <c r="I65">
        <v>94063</v>
      </c>
    </row>
    <row r="66" spans="1:9">
      <c r="A66" t="s">
        <v>373</v>
      </c>
      <c r="B66" t="str" cm="1">
        <f t="array" ref="B66">SLOOKUP(A66,H:H,H:H,0.6,0)</f>
        <v>Hivemapper</v>
      </c>
      <c r="C66" s="3" cm="1">
        <f t="array" ref="C66">IF(B66&lt;&gt;"",SimpleSim(A66,B66),"")</f>
        <v>0.72857142857142854</v>
      </c>
      <c r="D66" s="3"/>
      <c r="E66" t="str" cm="1">
        <f t="array" ref="E66">LLOOKUP(A66,H:H,H:H,0.6,0)</f>
        <v>Hivemapper</v>
      </c>
      <c r="F66" s="3" cm="1">
        <f t="array" ref="F66">IF(E66&lt;&gt;"",LevenshteinSimilarity(A66,E66),"")</f>
        <v>0.7142857142857143</v>
      </c>
      <c r="H66" t="s">
        <v>79</v>
      </c>
      <c r="I66">
        <v>94043</v>
      </c>
    </row>
    <row r="67" spans="1:9">
      <c r="A67" t="s">
        <v>374</v>
      </c>
      <c r="B67" t="str" cm="1">
        <f t="array" ref="B67">SLOOKUP(A67,H:H,H:H,0.6,0)</f>
        <v>Houzz</v>
      </c>
      <c r="C67" s="3" cm="1">
        <f t="array" ref="C67">IF(B67&lt;&gt;"",SimpleSim(A67,B67),"")</f>
        <v>0.61111111111111116</v>
      </c>
      <c r="D67" s="3"/>
      <c r="E67" t="str" cm="1">
        <f t="array" ref="E67">LLOOKUP(A67,H:H,H:H,0.6,0)</f>
        <v/>
      </c>
      <c r="F67" s="3" t="str" cm="1">
        <f t="array" ref="F67">IF(E67&lt;&gt;"",LevenshteinSimilarity(A67,E67),"")</f>
        <v/>
      </c>
      <c r="H67" t="s">
        <v>80</v>
      </c>
      <c r="I67">
        <v>94025</v>
      </c>
    </row>
    <row r="68" spans="1:9">
      <c r="A68" t="s">
        <v>370</v>
      </c>
      <c r="B68" t="str" cm="1">
        <f t="array" ref="B68">SLOOKUP(A68,H:H,H:H,0.6,0)</f>
        <v/>
      </c>
      <c r="C68" s="3" t="str" cm="1">
        <f t="array" ref="C68">IF(B68&lt;&gt;"",SimpleSim(A68,B68),"")</f>
        <v/>
      </c>
      <c r="D68" s="3"/>
      <c r="E68" t="str" cm="1">
        <f t="array" ref="E68">LLOOKUP(A68,H:H,H:H,0.6,0)</f>
        <v/>
      </c>
      <c r="F68" s="3" t="str" cm="1">
        <f t="array" ref="F68">IF(E68&lt;&gt;"",LevenshteinSimilarity(A68,E68),"")</f>
        <v/>
      </c>
      <c r="H68" t="s">
        <v>81</v>
      </c>
      <c r="I68">
        <v>94040</v>
      </c>
    </row>
    <row r="69" spans="1:9">
      <c r="A69" t="s">
        <v>371</v>
      </c>
      <c r="B69" t="str" cm="1">
        <f t="array" ref="B69">SLOOKUP(A69,H:H,H:H,0.6,0)</f>
        <v>Snowflake Computing</v>
      </c>
      <c r="C69" s="3" cm="1">
        <f t="array" ref="C69">IF(B69&lt;&gt;"",SimpleSim(A69,B69),"")</f>
        <v>0.60204081632653061</v>
      </c>
      <c r="D69" s="3"/>
      <c r="E69" t="str" cm="1">
        <f t="array" ref="E69">LLOOKUP(A69,H:H,H:H,0.6,0)</f>
        <v/>
      </c>
      <c r="F69" s="3" t="str" cm="1">
        <f t="array" ref="F69">IF(E69&lt;&gt;"",LevenshteinSimilarity(A69,E69),"")</f>
        <v/>
      </c>
      <c r="H69" t="s">
        <v>82</v>
      </c>
      <c r="I69">
        <v>94403</v>
      </c>
    </row>
    <row r="70" spans="1:9">
      <c r="A70" t="s">
        <v>375</v>
      </c>
      <c r="B70" t="str" cm="1">
        <f t="array" ref="B70">SLOOKUP(A70,H:H,H:H,0.6,0)</f>
        <v>Inflection.com</v>
      </c>
      <c r="C70" s="3" cm="1">
        <f t="array" ref="C70">IF(B70&lt;&gt;"",SimpleSim(A70,B70),"")</f>
        <v>0.61020408163265305</v>
      </c>
      <c r="D70" s="3"/>
      <c r="E70" t="str" cm="1">
        <f t="array" ref="E70">LLOOKUP(A70,H:H,H:H,0.6,0)</f>
        <v/>
      </c>
      <c r="F70" s="3" t="str" cm="1">
        <f t="array" ref="F70">IF(E70&lt;&gt;"",LevenshteinSimilarity(A70,E70),"")</f>
        <v/>
      </c>
      <c r="H70" t="s">
        <v>83</v>
      </c>
      <c r="I70">
        <v>94025</v>
      </c>
    </row>
    <row r="71" spans="1:9">
      <c r="A71" t="s">
        <v>376</v>
      </c>
      <c r="B71" t="str" cm="1">
        <f t="array" ref="B71">SLOOKUP(A71,H:H,H:H,0.6,0)</f>
        <v>Imperva</v>
      </c>
      <c r="C71" s="3" cm="1">
        <f t="array" ref="C71">IF(B71&lt;&gt;"",SimpleSim(A71,B71),"")</f>
        <v>0.68181818181818177</v>
      </c>
      <c r="D71" s="3"/>
      <c r="E71" t="str" cm="1">
        <f t="array" ref="E71">LLOOKUP(A71,H:H,H:H,0.6,0)</f>
        <v>Imperva</v>
      </c>
      <c r="F71" s="3" cm="1">
        <f t="array" ref="F71">IF(E71&lt;&gt;"",LevenshteinSimilarity(A71,E71),"")</f>
        <v>0.63636363636363635</v>
      </c>
      <c r="H71" t="s">
        <v>84</v>
      </c>
      <c r="I71">
        <v>95125</v>
      </c>
    </row>
    <row r="72" spans="1:9">
      <c r="A72" t="s">
        <v>377</v>
      </c>
      <c r="B72" t="str" cm="1">
        <f t="array" ref="B72">SLOOKUP(A72,H:H,H:H,0.6,0)</f>
        <v>Incorta</v>
      </c>
      <c r="C72" s="3" cm="1">
        <f t="array" ref="C72">IF(B72&lt;&gt;"",SimpleSim(A72,B72),"")</f>
        <v>0.75757575757575746</v>
      </c>
      <c r="D72" s="3"/>
      <c r="E72" t="str" cm="1">
        <f t="array" ref="E72">LLOOKUP(A72,H:H,H:H,0.6,0)</f>
        <v>Incorta</v>
      </c>
      <c r="F72" s="3" cm="1">
        <f t="array" ref="F72">IF(E72&lt;&gt;"",LevenshteinSimilarity(A72,E72),"")</f>
        <v>0.63636363636363635</v>
      </c>
      <c r="H72" t="s">
        <v>85</v>
      </c>
      <c r="I72">
        <v>94043</v>
      </c>
    </row>
    <row r="73" spans="1:9">
      <c r="A73" t="s">
        <v>378</v>
      </c>
      <c r="B73" t="str" cm="1">
        <f t="array" ref="B73">SLOOKUP(A73,H:H,H:H,0.6,0)</f>
        <v>Inflection.com</v>
      </c>
      <c r="C73" s="3" cm="1">
        <f t="array" ref="C73">IF(B73&lt;&gt;"",SimpleSim(A73,B73),"")</f>
        <v>1</v>
      </c>
      <c r="D73" s="3"/>
      <c r="E73" t="str" cm="1">
        <f t="array" ref="E73">LLOOKUP(A73,H:H,H:H,0.6,0)</f>
        <v>Inflection.com</v>
      </c>
      <c r="F73" s="3" cm="1">
        <f t="array" ref="F73">IF(E73&lt;&gt;"",LevenshteinSimilarity(A73,E73),"")</f>
        <v>1</v>
      </c>
      <c r="H73" t="s">
        <v>86</v>
      </c>
      <c r="I73">
        <v>94040</v>
      </c>
    </row>
    <row r="74" spans="1:9">
      <c r="A74" t="s">
        <v>379</v>
      </c>
      <c r="B74" t="str" cm="1">
        <f t="array" ref="B74">SLOOKUP(A74,H:H,H:H,0.6,0)</f>
        <v>Inflection.com</v>
      </c>
      <c r="C74" s="3" cm="1">
        <f t="array" ref="C74">IF(B74&lt;&gt;"",SimpleSim(A74,B74),"")</f>
        <v>0.68981481481481477</v>
      </c>
      <c r="D74" s="3"/>
      <c r="E74" t="str" cm="1">
        <f t="array" ref="E74">LLOOKUP(A74,H:H,H:H,0.6,0)</f>
        <v>Infogain</v>
      </c>
      <c r="F74" s="3" cm="1">
        <f t="array" ref="F74">IF(E74&lt;&gt;"",LevenshteinSimilarity(A74,E74),"")</f>
        <v>0.66666666666666663</v>
      </c>
      <c r="H74" t="s">
        <v>87</v>
      </c>
      <c r="I74">
        <v>94065</v>
      </c>
    </row>
    <row r="75" spans="1:9">
      <c r="A75" t="s">
        <v>380</v>
      </c>
      <c r="B75" t="str" cm="1">
        <f t="array" ref="B75">SLOOKUP(A75,H:H,H:H,0.6,0)</f>
        <v>Informatica</v>
      </c>
      <c r="C75" s="3" cm="1">
        <f t="array" ref="C75">IF(B75&lt;&gt;"",SimpleSim(A75,B75),"")</f>
        <v>0.78166666666666662</v>
      </c>
      <c r="D75" s="3"/>
      <c r="E75" t="str" cm="1">
        <f t="array" ref="E75">LLOOKUP(A75,H:H,H:H,0.6,0)</f>
        <v>Informatica</v>
      </c>
      <c r="F75" s="3" cm="1">
        <f t="array" ref="F75">IF(E75&lt;&gt;"",LevenshteinSimilarity(A75,E75),"")</f>
        <v>0.73333333333333328</v>
      </c>
      <c r="H75" t="s">
        <v>88</v>
      </c>
      <c r="I75">
        <v>95054</v>
      </c>
    </row>
    <row r="76" spans="1:9">
      <c r="A76" t="s">
        <v>381</v>
      </c>
      <c r="B76" t="str" cm="1">
        <f t="array" ref="B76">SLOOKUP(A76,H:H,H:H,0.6,0)</f>
        <v>Sterling Communications</v>
      </c>
      <c r="C76" s="3" cm="1">
        <f t="array" ref="C76">IF(B76&lt;&gt;"",SimpleSim(A76,B76),"")</f>
        <v>0.67328042328042326</v>
      </c>
      <c r="D76" s="3"/>
      <c r="E76" t="str" cm="1">
        <f t="array" ref="E76">LLOOKUP(A76,H:H,H:H,0.6,0)</f>
        <v/>
      </c>
      <c r="F76" s="3" t="str" cm="1">
        <f t="array" ref="F76">IF(E76&lt;&gt;"",LevenshteinSimilarity(A76,E76),"")</f>
        <v/>
      </c>
      <c r="H76" t="s">
        <v>89</v>
      </c>
      <c r="I76">
        <v>94065</v>
      </c>
    </row>
    <row r="77" spans="1:9">
      <c r="A77" t="s">
        <v>382</v>
      </c>
      <c r="B77" t="str" cm="1">
        <f t="array" ref="B77">SLOOKUP(A77,H:H,H:H,0.6,0)</f>
        <v>Intelliswift</v>
      </c>
      <c r="C77" s="3" cm="1">
        <f t="array" ref="C77">IF(B77&lt;&gt;"",SimpleSim(A77,B77),"")</f>
        <v>0.75</v>
      </c>
      <c r="D77" s="3"/>
      <c r="E77" t="str" cm="1">
        <f t="array" ref="E77">LLOOKUP(A77,H:H,H:H,0.6,0)</f>
        <v>Intelliswift</v>
      </c>
      <c r="F77" s="3" cm="1">
        <f t="array" ref="F77">IF(E77&lt;&gt;"",LevenshteinSimilarity(A77,E77),"")</f>
        <v>0.75</v>
      </c>
      <c r="H77" t="s">
        <v>90</v>
      </c>
      <c r="I77">
        <v>94063</v>
      </c>
    </row>
    <row r="78" spans="1:9">
      <c r="A78" t="s">
        <v>385</v>
      </c>
      <c r="B78" t="str" cm="1">
        <f t="array" ref="B78">SLOOKUP(A78,H:H,H:H,0.6,0)</f>
        <v>Jasper Wireless</v>
      </c>
      <c r="C78" s="3" cm="1">
        <f t="array" ref="C78">IF(B78&lt;&gt;"",SimpleSim(A78,B78),"")</f>
        <v>0.7</v>
      </c>
      <c r="D78" s="3"/>
      <c r="E78" t="str" cm="1">
        <f t="array" ref="E78">LLOOKUP(A78,H:H,H:H,0.6,0)</f>
        <v/>
      </c>
      <c r="F78" s="3" t="str" cm="1">
        <f t="array" ref="F78">IF(E78&lt;&gt;"",LevenshteinSimilarity(A78,E78),"")</f>
        <v/>
      </c>
      <c r="H78" t="s">
        <v>91</v>
      </c>
      <c r="I78">
        <v>94025</v>
      </c>
    </row>
    <row r="79" spans="1:9">
      <c r="A79" t="s">
        <v>386</v>
      </c>
      <c r="B79" t="str" cm="1">
        <f t="array" ref="B79">SLOOKUP(A79,H:H,H:H,0.6,0)</f>
        <v>Jobvite</v>
      </c>
      <c r="C79" s="3" cm="1">
        <f t="array" ref="C79">IF(B79&lt;&gt;"",SimpleSim(A79,B79),"")</f>
        <v>0.68181818181818177</v>
      </c>
      <c r="D79" s="3"/>
      <c r="E79" t="str" cm="1">
        <f t="array" ref="E79">LLOOKUP(A79,H:H,H:H,0.6,0)</f>
        <v>Jobvite</v>
      </c>
      <c r="F79" s="3" cm="1">
        <f t="array" ref="F79">IF(E79&lt;&gt;"",LevenshteinSimilarity(A79,E79),"")</f>
        <v>0.63636363636363635</v>
      </c>
      <c r="H79" t="s">
        <v>92</v>
      </c>
      <c r="I79">
        <v>94403</v>
      </c>
    </row>
    <row r="80" spans="1:9">
      <c r="A80" t="s">
        <v>387</v>
      </c>
      <c r="B80" t="str" cm="1">
        <f t="array" ref="B80">SLOOKUP(A80,H:H,H:H,0.6,0)</f>
        <v>Juniper Networks</v>
      </c>
      <c r="C80" s="3" cm="1">
        <f t="array" ref="C80">IF(B80&lt;&gt;"",SimpleSim(A80,B80),"")</f>
        <v>1</v>
      </c>
      <c r="D80" s="3"/>
      <c r="E80" t="str" cm="1">
        <f t="array" ref="E80">LLOOKUP(A80,H:H,H:H,0.6,0)</f>
        <v>Juniper Networks</v>
      </c>
      <c r="F80" s="3" cm="1">
        <f t="array" ref="F80">IF(E80&lt;&gt;"",LevenshteinSimilarity(A80,E80),"")</f>
        <v>1</v>
      </c>
      <c r="H80" t="s">
        <v>93</v>
      </c>
      <c r="I80">
        <v>95054</v>
      </c>
    </row>
    <row r="81" spans="1:9">
      <c r="A81" t="s">
        <v>390</v>
      </c>
      <c r="B81" t="str" cm="1">
        <f t="array" ref="B81">SLOOKUP(A81,H:H,H:H,0.6,0)</f>
        <v>Khosla Ventures</v>
      </c>
      <c r="C81" s="3" cm="1">
        <f t="array" ref="C81">IF(B81&lt;&gt;"",SimpleSim(A81,B81),"")</f>
        <v>0.77407407407407414</v>
      </c>
      <c r="D81" s="3"/>
      <c r="E81" t="str" cm="1">
        <f t="array" ref="E81">LLOOKUP(A81,H:H,H:H,0.6,0)</f>
        <v>Khosla Ventures</v>
      </c>
      <c r="F81" s="3" cm="1">
        <f t="array" ref="F81">IF(E81&lt;&gt;"",LevenshteinSimilarity(A81,E81),"")</f>
        <v>0.72222222222222221</v>
      </c>
      <c r="H81" t="s">
        <v>94</v>
      </c>
      <c r="I81">
        <v>94301</v>
      </c>
    </row>
    <row r="82" spans="1:9">
      <c r="A82" t="s">
        <v>391</v>
      </c>
      <c r="B82" t="str" cm="1">
        <f t="array" ref="B82">SLOOKUP(A82,H:H,H:H,0.6,0)</f>
        <v/>
      </c>
      <c r="C82" s="3" t="str" cm="1">
        <f t="array" ref="C82">IF(B82&lt;&gt;"",SimpleSim(A82,B82),"")</f>
        <v/>
      </c>
      <c r="D82" s="3"/>
      <c r="E82" t="str" cm="1">
        <f t="array" ref="E82">LLOOKUP(A82,H:H,H:H,0.6,0)</f>
        <v/>
      </c>
      <c r="F82" s="3" t="str" cm="1">
        <f t="array" ref="F82">IF(E82&lt;&gt;"",LevenshteinSimilarity(A82,E82),"")</f>
        <v/>
      </c>
      <c r="H82" t="s">
        <v>95</v>
      </c>
      <c r="I82">
        <v>95032</v>
      </c>
    </row>
    <row r="83" spans="1:9">
      <c r="A83" t="s">
        <v>392</v>
      </c>
      <c r="B83" t="str" cm="1">
        <f t="array" ref="B83">SLOOKUP(A83,H:H,H:H,0.6,0)</f>
        <v>Lab126</v>
      </c>
      <c r="C83" s="3" cm="1">
        <f t="array" ref="C83">IF(B83&lt;&gt;"",SimpleSim(A83,B83),"")</f>
        <v>0.6</v>
      </c>
      <c r="D83" s="3"/>
      <c r="E83" t="str" cm="1">
        <f t="array" ref="E83">LLOOKUP(A83,H:H,H:H,0.6,0)</f>
        <v>Lab126</v>
      </c>
      <c r="F83" s="3" cm="1">
        <f t="array" ref="F83">IF(E83&lt;&gt;"",LevenshteinSimilarity(A83,E83),"")</f>
        <v>0.6</v>
      </c>
      <c r="H83" t="s">
        <v>96</v>
      </c>
      <c r="I83">
        <v>94065</v>
      </c>
    </row>
    <row r="84" spans="1:9">
      <c r="A84" t="s">
        <v>393</v>
      </c>
      <c r="B84" t="str" cm="1">
        <f t="array" ref="B84">SLOOKUP(A84,H:H,H:H,0.6,0)</f>
        <v>Leetcode</v>
      </c>
      <c r="C84" s="3" cm="1">
        <f t="array" ref="C84">IF(B84&lt;&gt;"",SimpleSim(A84,B84),"")</f>
        <v>0.76666666666666661</v>
      </c>
      <c r="D84" s="3"/>
      <c r="E84" t="str" cm="1">
        <f t="array" ref="E84">LLOOKUP(A84,H:H,H:H,0.6,0)</f>
        <v>Leetcode</v>
      </c>
      <c r="F84" s="3" cm="1">
        <f t="array" ref="F84">IF(E84&lt;&gt;"",LevenshteinSimilarity(A84,E84),"")</f>
        <v>0.66666666666666663</v>
      </c>
      <c r="H84" t="s">
        <v>97</v>
      </c>
      <c r="I84">
        <v>95110</v>
      </c>
    </row>
    <row r="85" spans="1:9">
      <c r="A85" t="s">
        <v>395</v>
      </c>
      <c r="B85" t="str" cm="1">
        <f t="array" ref="B85">SLOOKUP(A85,H:H,H:H,0.6,0)</f>
        <v>Livongo</v>
      </c>
      <c r="C85" s="3" cm="1">
        <f t="array" ref="C85">IF(B85&lt;&gt;"",SimpleSim(A85,B85),"")</f>
        <v>0.65909090909090906</v>
      </c>
      <c r="D85" s="3"/>
      <c r="E85" t="str" cm="1">
        <f t="array" ref="E85">LLOOKUP(A85,H:H,H:H,0.6,0)</f>
        <v>Livongo</v>
      </c>
      <c r="F85" s="3" cm="1">
        <f t="array" ref="F85">IF(E85&lt;&gt;"",LevenshteinSimilarity(A85,E85),"")</f>
        <v>0.63636363636363635</v>
      </c>
      <c r="H85" t="s">
        <v>98</v>
      </c>
      <c r="I85">
        <v>94063</v>
      </c>
    </row>
    <row r="86" spans="1:9">
      <c r="A86" t="s">
        <v>396</v>
      </c>
      <c r="B86" t="str" cm="1">
        <f t="array" ref="B86">SLOOKUP(A86,H:H,H:H,0.6,0)</f>
        <v>Logitech</v>
      </c>
      <c r="C86" s="3" cm="1">
        <f t="array" ref="C86">IF(B86&lt;&gt;"",SimpleSim(A86,B86),"")</f>
        <v>0.69047619047619035</v>
      </c>
      <c r="D86" s="3"/>
      <c r="E86" t="str" cm="1">
        <f t="array" ref="E86">LLOOKUP(A86,H:H,H:H,0.6,0)</f>
        <v>Logitech</v>
      </c>
      <c r="F86" s="3" cm="1">
        <f t="array" ref="F86">IF(E86&lt;&gt;"",LevenshteinSimilarity(A86,E86),"")</f>
        <v>0.66666666666666663</v>
      </c>
      <c r="H86" t="s">
        <v>99</v>
      </c>
      <c r="I86">
        <v>94063</v>
      </c>
    </row>
    <row r="87" spans="1:9">
      <c r="A87" t="s">
        <v>397</v>
      </c>
      <c r="B87" t="str" cm="1">
        <f t="array" ref="B87">SLOOKUP(A87,H:H,H:H,0.6,0)</f>
        <v>Lohika</v>
      </c>
      <c r="C87" s="3" cm="1">
        <f t="array" ref="C87">IF(B87&lt;&gt;"",SimpleSim(A87,B87),"")</f>
        <v>0.65</v>
      </c>
      <c r="D87" s="3"/>
      <c r="E87" t="str" cm="1">
        <f t="array" ref="E87">LLOOKUP(A87,H:H,H:H,0.6,0)</f>
        <v>Lohika</v>
      </c>
      <c r="F87" s="3" cm="1">
        <f t="array" ref="F87">IF(E87&lt;&gt;"",LevenshteinSimilarity(A87,E87),"")</f>
        <v>0.6</v>
      </c>
      <c r="H87" t="s">
        <v>100</v>
      </c>
      <c r="I87">
        <v>94025</v>
      </c>
    </row>
    <row r="88" spans="1:9">
      <c r="A88" t="s">
        <v>394</v>
      </c>
      <c r="B88" t="str" cm="1">
        <f t="array" ref="B88">SLOOKUP(A88,H:H,H:H,0.6,0)</f>
        <v/>
      </c>
      <c r="C88" s="3" t="str" cm="1">
        <f t="array" ref="C88">IF(B88&lt;&gt;"",SimpleSim(A88,B88),"")</f>
        <v/>
      </c>
      <c r="D88" s="3"/>
      <c r="E88" t="str" cm="1">
        <f t="array" ref="E88">LLOOKUP(A88,H:H,H:H,0.6,0)</f>
        <v/>
      </c>
      <c r="F88" s="3" t="str" cm="1">
        <f t="array" ref="F88">IF(E88&lt;&gt;"",LevenshteinSimilarity(A88,E88),"")</f>
        <v/>
      </c>
      <c r="H88" t="s">
        <v>101</v>
      </c>
      <c r="I88">
        <v>94025</v>
      </c>
    </row>
    <row r="89" spans="1:9">
      <c r="A89" t="s">
        <v>399</v>
      </c>
      <c r="B89" t="str" cm="1">
        <f t="array" ref="B89">SLOOKUP(A89,H:H,H:H,0.6,0)</f>
        <v>MapR Technologies</v>
      </c>
      <c r="C89" s="3" cm="1">
        <f t="array" ref="C89">IF(B89&lt;&gt;"",SimpleSim(A89,B89),"")</f>
        <v>0.71874999999999989</v>
      </c>
      <c r="D89" s="3"/>
      <c r="E89" t="str" cm="1">
        <f t="array" ref="E89">LLOOKUP(A89,H:H,H:H,0.6,0)</f>
        <v/>
      </c>
      <c r="F89" s="3" t="str" cm="1">
        <f t="array" ref="F89">IF(E89&lt;&gt;"",LevenshteinSimilarity(A89,E89),"")</f>
        <v/>
      </c>
      <c r="H89" t="s">
        <v>102</v>
      </c>
      <c r="I89">
        <v>94303</v>
      </c>
    </row>
    <row r="90" spans="1:9">
      <c r="A90" t="s">
        <v>400</v>
      </c>
      <c r="B90" t="str" cm="1">
        <f t="array" ref="B90">SLOOKUP(A90,H:H,H:H,0.6,0)</f>
        <v>Marketo</v>
      </c>
      <c r="C90" s="3" cm="1">
        <f t="array" ref="C90">IF(B90&lt;&gt;"",SimpleSim(A90,B90),"")</f>
        <v>0.6607142857142857</v>
      </c>
      <c r="D90" s="3"/>
      <c r="E90" t="str" cm="1">
        <f t="array" ref="E90">LLOOKUP(A90,H:H,H:H,0.6,0)</f>
        <v>Marketo</v>
      </c>
      <c r="F90" s="3" cm="1">
        <f t="array" ref="F90">IF(E90&lt;&gt;"",LevenshteinSimilarity(A90,E90),"")</f>
        <v>0.63636363636363635</v>
      </c>
      <c r="H90" t="s">
        <v>103</v>
      </c>
      <c r="I90">
        <v>95054</v>
      </c>
    </row>
    <row r="91" spans="1:9">
      <c r="A91" t="s">
        <v>401</v>
      </c>
      <c r="B91" t="str" cm="1">
        <f t="array" ref="B91">SLOOKUP(A91,H:H,H:H,0.6,0)</f>
        <v>MarkLogic</v>
      </c>
      <c r="C91" s="3" cm="1">
        <f t="array" ref="C91">IF(B91&lt;&gt;"",SimpleSim(A91,B91),"")</f>
        <v>0.72722832722832709</v>
      </c>
      <c r="D91" s="3"/>
      <c r="E91" t="str" cm="1">
        <f t="array" ref="E91">LLOOKUP(A91,H:H,H:H,0.6,0)</f>
        <v>MarkLogic</v>
      </c>
      <c r="F91" s="3" cm="1">
        <f t="array" ref="F91">IF(E91&lt;&gt;"",LevenshteinSimilarity(A91,E91),"")</f>
        <v>0.69230769230769229</v>
      </c>
      <c r="H91" t="s">
        <v>104</v>
      </c>
      <c r="I91">
        <v>94063</v>
      </c>
    </row>
    <row r="92" spans="1:9">
      <c r="A92" t="s">
        <v>402</v>
      </c>
      <c r="B92" t="str" cm="1">
        <f t="array" ref="B92">SLOOKUP(A92,H:H,H:H,0.6,0)</f>
        <v>Marvell</v>
      </c>
      <c r="C92" s="3" cm="1">
        <f t="array" ref="C92">IF(B92&lt;&gt;"",SimpleSim(A92,B92),"")</f>
        <v>0.72727272727272729</v>
      </c>
      <c r="D92" s="3"/>
      <c r="E92" t="str" cm="1">
        <f t="array" ref="E92">LLOOKUP(A92,H:H,H:H,0.6,0)</f>
        <v>Marvell</v>
      </c>
      <c r="F92" s="3" cm="1">
        <f t="array" ref="F92">IF(E92&lt;&gt;"",LevenshteinSimilarity(A92,E92),"")</f>
        <v>0.63636363636363635</v>
      </c>
      <c r="H92" t="s">
        <v>105</v>
      </c>
      <c r="I92">
        <v>94403</v>
      </c>
    </row>
    <row r="93" spans="1:9">
      <c r="A93" t="s">
        <v>403</v>
      </c>
      <c r="B93" t="str" cm="1">
        <f t="array" ref="B93">SLOOKUP(A93,H:H,H:H,0.6,0)</f>
        <v>Mattermost</v>
      </c>
      <c r="C93" s="3" cm="1">
        <f t="array" ref="C93">IF(B93&lt;&gt;"",SimpleSim(A93,B93),"")</f>
        <v>0.74702380952380953</v>
      </c>
      <c r="D93" s="3"/>
      <c r="E93" t="str" cm="1">
        <f t="array" ref="E93">LLOOKUP(A93,H:H,H:H,0.6,0)</f>
        <v>Mattermost</v>
      </c>
      <c r="F93" s="3" cm="1">
        <f t="array" ref="F93">IF(E93&lt;&gt;"",LevenshteinSimilarity(A93,E93),"")</f>
        <v>0.7142857142857143</v>
      </c>
      <c r="H93" t="s">
        <v>106</v>
      </c>
      <c r="I93">
        <v>94107</v>
      </c>
    </row>
    <row r="94" spans="1:9">
      <c r="A94" t="s">
        <v>404</v>
      </c>
      <c r="B94" t="str" cm="1">
        <f t="array" ref="B94">SLOOKUP(A94,H:H,H:H,0.6,0)</f>
        <v>McAfee</v>
      </c>
      <c r="C94" s="3" cm="1">
        <f t="array" ref="C94">IF(B94&lt;&gt;"",SimpleSim(A94,B94),"")</f>
        <v>0.75</v>
      </c>
      <c r="D94" s="3"/>
      <c r="E94" t="str" cm="1">
        <f t="array" ref="E94">LLOOKUP(A94,H:H,H:H,0.6,0)</f>
        <v>McAfee</v>
      </c>
      <c r="F94" s="3" cm="1">
        <f t="array" ref="F94">IF(E94&lt;&gt;"",LevenshteinSimilarity(A94,E94),"")</f>
        <v>0.6</v>
      </c>
      <c r="H94" t="s">
        <v>107</v>
      </c>
    </row>
    <row r="95" spans="1:9">
      <c r="A95" t="s">
        <v>406</v>
      </c>
      <c r="B95" t="str" cm="1">
        <f t="array" ref="B95">SLOOKUP(A95,H:H,H:H,0.6,0)</f>
        <v>Mentor Graphics</v>
      </c>
      <c r="C95" s="3" cm="1">
        <f t="array" ref="C95">IF(B95&lt;&gt;"",SimpleSim(A95,B95),"")</f>
        <v>0.74004329004329006</v>
      </c>
      <c r="D95" s="3"/>
      <c r="E95" t="str" cm="1">
        <f t="array" ref="E95">LLOOKUP(A95,H:H,H:H,0.6,0)</f>
        <v/>
      </c>
      <c r="F95" s="3" t="str" cm="1">
        <f t="array" ref="F95">IF(E95&lt;&gt;"",LevenshteinSimilarity(A95,E95),"")</f>
        <v/>
      </c>
      <c r="H95" t="s">
        <v>108</v>
      </c>
      <c r="I95">
        <v>95113</v>
      </c>
    </row>
    <row r="96" spans="1:9">
      <c r="A96" t="s">
        <v>408</v>
      </c>
      <c r="B96" t="str" cm="1">
        <f t="array" ref="B96">SLOOKUP(A96,H:H,H:H,0.6,0)</f>
        <v>MetricStream</v>
      </c>
      <c r="C96" s="3" cm="1">
        <f t="array" ref="C96">IF(B96&lt;&gt;"",SimpleSim(A96,B96),"")</f>
        <v>0.82291666666666663</v>
      </c>
      <c r="D96" s="3"/>
      <c r="E96" t="str" cm="1">
        <f t="array" ref="E96">LLOOKUP(A96,H:H,H:H,0.6,0)</f>
        <v>MetricStream</v>
      </c>
      <c r="F96" s="3" cm="1">
        <f t="array" ref="F96">IF(E96&lt;&gt;"",LevenshteinSimilarity(A96,E96),"")</f>
        <v>0.75</v>
      </c>
      <c r="H96" t="s">
        <v>109</v>
      </c>
      <c r="I96">
        <v>94304</v>
      </c>
    </row>
    <row r="97" spans="1:9">
      <c r="A97" t="s">
        <v>410</v>
      </c>
      <c r="B97" t="str" cm="1">
        <f t="array" ref="B97">SLOOKUP(A97,H:H,H:H,0.6,0)</f>
        <v>Mindsource</v>
      </c>
      <c r="C97" s="3" cm="1">
        <f t="array" ref="C97">IF(B97&lt;&gt;"",SimpleSim(A97,B97),"")</f>
        <v>0.74671201814058941</v>
      </c>
      <c r="D97" s="3"/>
      <c r="E97" t="str" cm="1">
        <f t="array" ref="E97">LLOOKUP(A97,H:H,H:H,0.6,0)</f>
        <v>Mindsource</v>
      </c>
      <c r="F97" s="3" cm="1">
        <f t="array" ref="F97">IF(E97&lt;&gt;"",LevenshteinSimilarity(A97,E97),"")</f>
        <v>0.7142857142857143</v>
      </c>
      <c r="H97" t="s">
        <v>110</v>
      </c>
      <c r="I97">
        <v>94025</v>
      </c>
    </row>
    <row r="98" spans="1:9">
      <c r="A98" t="s">
        <v>411</v>
      </c>
      <c r="B98" t="str" cm="1">
        <f t="array" ref="B98">SLOOKUP(A98,H:H,H:H,0.6,0)</f>
        <v>Model N</v>
      </c>
      <c r="C98" s="3" cm="1">
        <f t="array" ref="C98">IF(B98&lt;&gt;"",SimpleSim(A98,B98),"")</f>
        <v>0.66666666666666663</v>
      </c>
      <c r="D98" s="3"/>
      <c r="E98" t="str" cm="1">
        <f t="array" ref="E98">LLOOKUP(A98,H:H,H:H,0.6,0)</f>
        <v>Model N</v>
      </c>
      <c r="F98" s="3" cm="1">
        <f t="array" ref="F98">IF(E98&lt;&gt;"",LevenshteinSimilarity(A98,E98),"")</f>
        <v>0.6</v>
      </c>
      <c r="H98" t="s">
        <v>111</v>
      </c>
      <c r="I98">
        <v>95054</v>
      </c>
    </row>
    <row r="99" spans="1:9">
      <c r="A99" t="s">
        <v>412</v>
      </c>
      <c r="B99" t="str" cm="1">
        <f t="array" ref="B99">SLOOKUP(A99,H:H,H:H,0.6,0)</f>
        <v>MongoDB</v>
      </c>
      <c r="C99" s="3" cm="1">
        <f t="array" ref="C99">IF(B99&lt;&gt;"",SimpleSim(A99,B99),"")</f>
        <v>0.71212121212121204</v>
      </c>
      <c r="D99" s="3"/>
      <c r="E99" t="str" cm="1">
        <f t="array" ref="E99">LLOOKUP(A99,H:H,H:H,0.6,0)</f>
        <v>MongoDB</v>
      </c>
      <c r="F99" s="3" cm="1">
        <f t="array" ref="F99">IF(E99&lt;&gt;"",LevenshteinSimilarity(A99,E99),"")</f>
        <v>0.63636363636363635</v>
      </c>
      <c r="H99" t="s">
        <v>112</v>
      </c>
      <c r="I99">
        <v>94301</v>
      </c>
    </row>
    <row r="100" spans="1:9">
      <c r="A100" t="s">
        <v>414</v>
      </c>
      <c r="B100" t="str" cm="1">
        <f t="array" ref="B100">SLOOKUP(A100,H:H,H:H,0.6,0)</f>
        <v>NetApp</v>
      </c>
      <c r="C100" s="3" cm="1">
        <f t="array" ref="C100">IF(B100&lt;&gt;"",SimpleSim(A100,B100),"")</f>
        <v>0.6</v>
      </c>
      <c r="D100" s="3"/>
      <c r="E100" t="str" cm="1">
        <f t="array" ref="E100">LLOOKUP(A100,H:H,H:H,0.6,0)</f>
        <v>NetApp</v>
      </c>
      <c r="F100" s="3" cm="1">
        <f t="array" ref="F100">IF(E100&lt;&gt;"",LevenshteinSimilarity(A100,E100),"")</f>
        <v>0.6</v>
      </c>
      <c r="H100" t="s">
        <v>113</v>
      </c>
    </row>
    <row r="101" spans="1:9">
      <c r="A101" t="s">
        <v>415</v>
      </c>
      <c r="B101" t="str" cm="1">
        <f t="array" ref="B101">SLOOKUP(A101,H:H,H:H,0.6,0)</f>
        <v>Netflix</v>
      </c>
      <c r="C101" s="3" cm="1">
        <f t="array" ref="C101">IF(B101&lt;&gt;"",SimpleSim(A101,B101),"")</f>
        <v>0.63636363636363635</v>
      </c>
      <c r="D101" s="3"/>
      <c r="E101" t="str" cm="1">
        <f t="array" ref="E101">LLOOKUP(A101,H:H,H:H,0.6,0)</f>
        <v>Netflix</v>
      </c>
      <c r="F101" s="3" cm="1">
        <f t="array" ref="F101">IF(E101&lt;&gt;"",LevenshteinSimilarity(A101,E101),"")</f>
        <v>0.63636363636363635</v>
      </c>
      <c r="H101" t="s">
        <v>114</v>
      </c>
      <c r="I101">
        <v>94041</v>
      </c>
    </row>
    <row r="102" spans="1:9">
      <c r="A102" t="s">
        <v>416</v>
      </c>
      <c r="B102" t="str" cm="1">
        <f t="array" ref="B102">SLOOKUP(A102,H:H,H:H,0.6,0)</f>
        <v>NetSpring</v>
      </c>
      <c r="C102" s="3" cm="1">
        <f t="array" ref="C102">IF(B102&lt;&gt;"",SimpleSim(A102,B102),"")</f>
        <v>0.76190476190476186</v>
      </c>
      <c r="D102" s="3"/>
      <c r="E102" t="str" cm="1">
        <f t="array" ref="E102">LLOOKUP(A102,H:H,H:H,0.6,0)</f>
        <v>NetSpring</v>
      </c>
      <c r="F102" s="3" cm="1">
        <f t="array" ref="F102">IF(E102&lt;&gt;"",LevenshteinSimilarity(A102,E102),"")</f>
        <v>0.75</v>
      </c>
      <c r="H102" t="s">
        <v>115</v>
      </c>
      <c r="I102">
        <v>95134</v>
      </c>
    </row>
    <row r="103" spans="1:9">
      <c r="A103" t="s">
        <v>417</v>
      </c>
      <c r="B103" t="str" cm="1">
        <f t="array" ref="B103">SLOOKUP(A103,H:H,H:H,0.6,0)</f>
        <v>NexGenT</v>
      </c>
      <c r="C103" s="3" cm="1">
        <f t="array" ref="C103">IF(B103&lt;&gt;"",SimpleSim(A103,B103),"")</f>
        <v>0.63636363636363635</v>
      </c>
      <c r="D103" s="3"/>
      <c r="E103" t="str" cm="1">
        <f t="array" ref="E103">LLOOKUP(A103,H:H,H:H,0.6,0)</f>
        <v>NexGenT</v>
      </c>
      <c r="F103" s="3" cm="1">
        <f t="array" ref="F103">IF(E103&lt;&gt;"",LevenshteinSimilarity(A103,E103),"")</f>
        <v>0.63636363636363635</v>
      </c>
      <c r="H103" t="s">
        <v>116</v>
      </c>
      <c r="I103">
        <v>94086</v>
      </c>
    </row>
    <row r="104" spans="1:9">
      <c r="A104" t="s">
        <v>420</v>
      </c>
      <c r="B104" t="str" cm="1">
        <f t="array" ref="B104">SLOOKUP(A104,H:H,H:H,0.6,0)</f>
        <v/>
      </c>
      <c r="C104" s="3" t="str" cm="1">
        <f t="array" ref="C104">IF(B104&lt;&gt;"",SimpleSim(A104,B104),"")</f>
        <v/>
      </c>
      <c r="D104" s="3"/>
      <c r="E104" t="str" cm="1">
        <f t="array" ref="E104">LLOOKUP(A104,H:H,H:H,0.6,0)</f>
        <v/>
      </c>
      <c r="F104" s="3" t="str" cm="1">
        <f t="array" ref="F104">IF(E104&lt;&gt;"",LevenshteinSimilarity(A104,E104),"")</f>
        <v/>
      </c>
      <c r="H104" t="s">
        <v>117</v>
      </c>
      <c r="I104">
        <v>94063</v>
      </c>
    </row>
    <row r="105" spans="1:9">
      <c r="A105" t="s">
        <v>421</v>
      </c>
      <c r="B105" t="str" cm="1">
        <f t="array" ref="B105">SLOOKUP(A105,H:H,H:H,0.6,0)</f>
        <v>Nutanix</v>
      </c>
      <c r="C105" s="3" cm="1">
        <f t="array" ref="C105">IF(B105&lt;&gt;"",SimpleSim(A105,B105),"")</f>
        <v>0.63636363636363635</v>
      </c>
      <c r="D105" s="3"/>
      <c r="E105" t="str" cm="1">
        <f t="array" ref="E105">LLOOKUP(A105,H:H,H:H,0.6,0)</f>
        <v>Nutanix</v>
      </c>
      <c r="F105" s="3" cm="1">
        <f t="array" ref="F105">IF(E105&lt;&gt;"",LevenshteinSimilarity(A105,E105),"")</f>
        <v>0.63636363636363635</v>
      </c>
      <c r="H105" t="s">
        <v>118</v>
      </c>
      <c r="I105">
        <v>94304</v>
      </c>
    </row>
    <row r="106" spans="1:9">
      <c r="A106" t="s">
        <v>422</v>
      </c>
      <c r="B106" t="str" cm="1">
        <f t="array" ref="B106">SLOOKUP(A106,H:H,H:H,0.6,0)</f>
        <v>NVIDIA</v>
      </c>
      <c r="C106" s="3" cm="1">
        <f t="array" ref="C106">IF(B106&lt;&gt;"",SimpleSim(A106,B106),"")</f>
        <v>0.6</v>
      </c>
      <c r="D106" s="3"/>
      <c r="E106" t="str" cm="1">
        <f t="array" ref="E106">LLOOKUP(A106,H:H,H:H,0.6,0)</f>
        <v>NVIDIA</v>
      </c>
      <c r="F106" s="3" cm="1">
        <f t="array" ref="F106">IF(E106&lt;&gt;"",LevenshteinSimilarity(A106,E106),"")</f>
        <v>0.6</v>
      </c>
      <c r="H106" t="s">
        <v>119</v>
      </c>
      <c r="I106">
        <v>95002</v>
      </c>
    </row>
    <row r="107" spans="1:9">
      <c r="A107" t="s">
        <v>423</v>
      </c>
      <c r="B107" t="str" cm="1">
        <f t="array" ref="B107">SLOOKUP(A107,H:H,H:H,0.6,0)</f>
        <v>Onesignal</v>
      </c>
      <c r="C107" s="3" cm="1">
        <f t="array" ref="C107">IF(B107&lt;&gt;"",SimpleSim(A107,B107),"")</f>
        <v>0.76923076923076927</v>
      </c>
      <c r="D107" s="3"/>
      <c r="E107" t="str" cm="1">
        <f t="array" ref="E107">LLOOKUP(A107,H:H,H:H,0.6,0)</f>
        <v>Onesignal</v>
      </c>
      <c r="F107" s="3" cm="1">
        <f t="array" ref="F107">IF(E107&lt;&gt;"",LevenshteinSimilarity(A107,E107),"")</f>
        <v>0.69230769230769229</v>
      </c>
      <c r="H107" t="s">
        <v>120</v>
      </c>
      <c r="I107">
        <v>94025</v>
      </c>
    </row>
    <row r="108" spans="1:9">
      <c r="A108" t="s">
        <v>425</v>
      </c>
      <c r="B108" t="str" cm="1">
        <f t="array" ref="B108">SLOOKUP(A108,H:H,H:H,0.6,0)</f>
        <v>OutreachCircle</v>
      </c>
      <c r="C108" s="3" cm="1">
        <f t="array" ref="C108">IF(B108&lt;&gt;"",SimpleSim(A108,B108),"")</f>
        <v>0.79265873015873012</v>
      </c>
      <c r="D108" s="3"/>
      <c r="E108" t="str" cm="1">
        <f t="array" ref="E108">LLOOKUP(A108,H:H,H:H,0.6,0)</f>
        <v>OutreachCircle</v>
      </c>
      <c r="F108" s="3" cm="1">
        <f t="array" ref="F108">IF(E108&lt;&gt;"",LevenshteinSimilarity(A108,E108),"")</f>
        <v>0.77777777777777779</v>
      </c>
      <c r="H108" t="s">
        <v>121</v>
      </c>
      <c r="I108">
        <v>94043</v>
      </c>
    </row>
    <row r="109" spans="1:9">
      <c r="A109" t="s">
        <v>426</v>
      </c>
      <c r="B109" t="str" cm="1">
        <f t="array" ref="B109">SLOOKUP(A109,H:H,H:H,0.6,0)</f>
        <v>Palantir</v>
      </c>
      <c r="C109" s="3" cm="1">
        <f t="array" ref="C109">IF(B109&lt;&gt;"",SimpleSim(A109,B109),"")</f>
        <v>0.66666666666666663</v>
      </c>
      <c r="D109" s="3"/>
      <c r="E109" t="str" cm="1">
        <f t="array" ref="E109">LLOOKUP(A109,H:H,H:H,0.6,0)</f>
        <v>Palantir</v>
      </c>
      <c r="F109" s="3" cm="1">
        <f t="array" ref="F109">IF(E109&lt;&gt;"",LevenshteinSimilarity(A109,E109),"")</f>
        <v>0.66666666666666663</v>
      </c>
      <c r="H109" t="s">
        <v>122</v>
      </c>
      <c r="I109">
        <v>94010</v>
      </c>
    </row>
    <row r="110" spans="1:9">
      <c r="A110" t="s">
        <v>429</v>
      </c>
      <c r="B110" t="str" cm="1">
        <f t="array" ref="B110">SLOOKUP(A110,H:H,H:H,0.6,0)</f>
        <v>Planful</v>
      </c>
      <c r="C110" s="3" cm="1">
        <f t="array" ref="C110">IF(B110&lt;&gt;"",SimpleSim(A110,B110),"")</f>
        <v>0.63636363636363635</v>
      </c>
      <c r="D110" s="3"/>
      <c r="E110" t="str" cm="1">
        <f t="array" ref="E110">LLOOKUP(A110,H:H,H:H,0.6,0)</f>
        <v>Planful</v>
      </c>
      <c r="F110" s="3" cm="1">
        <f t="array" ref="F110">IF(E110&lt;&gt;"",LevenshteinSimilarity(A110,E110),"")</f>
        <v>0.63636363636363635</v>
      </c>
      <c r="H110" t="s">
        <v>123</v>
      </c>
      <c r="I110">
        <v>94301</v>
      </c>
    </row>
    <row r="111" spans="1:9">
      <c r="A111" t="s">
        <v>430</v>
      </c>
      <c r="B111" t="str" cm="1">
        <f t="array" ref="B111">SLOOKUP(A111,H:H,H:H,0.6,0)</f>
        <v>Poshmark</v>
      </c>
      <c r="C111" s="3" cm="1">
        <f t="array" ref="C111">IF(B111&lt;&gt;"",SimpleSim(A111,B111),"")</f>
        <v>0.73611111111111116</v>
      </c>
      <c r="D111" s="3"/>
      <c r="E111" t="str" cm="1">
        <f t="array" ref="E111">LLOOKUP(A111,H:H,H:H,0.6,0)</f>
        <v>Poshmark</v>
      </c>
      <c r="F111" s="3" cm="1">
        <f t="array" ref="F111">IF(E111&lt;&gt;"",LevenshteinSimilarity(A111,E111),"")</f>
        <v>0.66666666666666663</v>
      </c>
      <c r="H111" t="s">
        <v>124</v>
      </c>
      <c r="I111">
        <v>95141</v>
      </c>
    </row>
    <row r="112" spans="1:9">
      <c r="A112" t="s">
        <v>431</v>
      </c>
      <c r="B112" t="str" cm="1">
        <f t="array" ref="B112">SLOOKUP(A112,H:H,H:H,0.6,0)</f>
        <v>Proofpoint</v>
      </c>
      <c r="C112" s="3" cm="1">
        <f t="array" ref="C112">IF(B112&lt;&gt;"",SimpleSim(A112,B112),"")</f>
        <v>0.73809523809523814</v>
      </c>
      <c r="D112" s="3"/>
      <c r="E112" t="str" cm="1">
        <f t="array" ref="E112">LLOOKUP(A112,H:H,H:H,0.6,0)</f>
        <v>Proofpoint</v>
      </c>
      <c r="F112" s="3" cm="1">
        <f t="array" ref="F112">IF(E112&lt;&gt;"",LevenshteinSimilarity(A112,E112),"")</f>
        <v>0.7142857142857143</v>
      </c>
      <c r="H112" t="s">
        <v>125</v>
      </c>
      <c r="I112">
        <v>94065</v>
      </c>
    </row>
    <row r="113" spans="1:9">
      <c r="A113" t="s">
        <v>433</v>
      </c>
      <c r="B113" t="str" cm="1">
        <f t="array" ref="B113">SLOOKUP(A113,H:H,H:H,0.6,0)</f>
        <v>Qualys</v>
      </c>
      <c r="C113" s="3" cm="1">
        <f t="array" ref="C113">IF(B113&lt;&gt;"",SimpleSim(A113,B113),"")</f>
        <v>0.6</v>
      </c>
      <c r="D113" s="3"/>
      <c r="E113" t="str" cm="1">
        <f t="array" ref="E113">LLOOKUP(A113,H:H,H:H,0.6,0)</f>
        <v>Qualys</v>
      </c>
      <c r="F113" s="3" cm="1">
        <f t="array" ref="F113">IF(E113&lt;&gt;"",LevenshteinSimilarity(A113,E113),"")</f>
        <v>0.6</v>
      </c>
      <c r="H113" t="s">
        <v>126</v>
      </c>
      <c r="I113">
        <v>94403</v>
      </c>
    </row>
    <row r="114" spans="1:9">
      <c r="A114" t="s">
        <v>434</v>
      </c>
      <c r="B114" t="str" cm="1">
        <f t="array" ref="B114">SLOOKUP(A114,H:H,H:H,0.6,0)</f>
        <v/>
      </c>
      <c r="C114" s="3" t="str" cm="1">
        <f t="array" ref="C114">IF(B114&lt;&gt;"",SimpleSim(A114,B114),"")</f>
        <v/>
      </c>
      <c r="D114" s="3"/>
      <c r="E114" t="str" cm="1">
        <f t="array" ref="E114">LLOOKUP(A114,H:H,H:H,0.6,0)</f>
        <v/>
      </c>
      <c r="F114" s="3" t="str" cm="1">
        <f t="array" ref="F114">IF(E114&lt;&gt;"",LevenshteinSimilarity(A114,E114),"")</f>
        <v/>
      </c>
      <c r="H114" t="s">
        <v>127</v>
      </c>
      <c r="I114">
        <v>94065</v>
      </c>
    </row>
    <row r="115" spans="1:9">
      <c r="A115" t="s">
        <v>435</v>
      </c>
      <c r="B115" t="str" cm="1">
        <f t="array" ref="B115">SLOOKUP(A115,H:H,H:H,0.6,0)</f>
        <v/>
      </c>
      <c r="C115" s="3" t="str" cm="1">
        <f t="array" ref="C115">IF(B115&lt;&gt;"",SimpleSim(A115,B115),"")</f>
        <v/>
      </c>
      <c r="D115" s="3"/>
      <c r="E115" t="str" cm="1">
        <f t="array" ref="E115">LLOOKUP(A115,H:H,H:H,0.6,0)</f>
        <v/>
      </c>
      <c r="F115" s="3" t="str" cm="1">
        <f t="array" ref="F115">IF(E115&lt;&gt;"",LevenshteinSimilarity(A115,E115),"")</f>
        <v/>
      </c>
      <c r="H115" t="s">
        <v>128</v>
      </c>
      <c r="I115">
        <v>95032</v>
      </c>
    </row>
    <row r="116" spans="1:9">
      <c r="A116" t="s">
        <v>198</v>
      </c>
      <c r="B116" t="str" cm="1">
        <f t="array" ref="B116">SLOOKUP(A116,H:H,H:H,0.6,0)</f>
        <v>reputation.com</v>
      </c>
      <c r="C116" s="3" cm="1">
        <f t="array" ref="C116">IF(B116&lt;&gt;"",SimpleSim(A116,B116),"")</f>
        <v>1</v>
      </c>
      <c r="D116" s="3"/>
      <c r="E116" t="str" cm="1">
        <f t="array" ref="E116">LLOOKUP(A116,H:H,H:H,0.6,0)</f>
        <v>reputation.com</v>
      </c>
      <c r="F116" s="3" cm="1">
        <f t="array" ref="F116">IF(E116&lt;&gt;"",LevenshteinSimilarity(A116,E116),"")</f>
        <v>1</v>
      </c>
      <c r="H116" t="s">
        <v>129</v>
      </c>
      <c r="I116">
        <v>94063</v>
      </c>
    </row>
    <row r="117" spans="1:9">
      <c r="A117" t="s">
        <v>439</v>
      </c>
      <c r="B117" t="str" cm="1">
        <f t="array" ref="B117">SLOOKUP(A117,H:H,H:H,0.6,0)</f>
        <v>Robinhood</v>
      </c>
      <c r="C117" s="3" cm="1">
        <f t="array" ref="C117">IF(B117&lt;&gt;"",SimpleSim(A117,B117),"")</f>
        <v>0.73076923076923073</v>
      </c>
      <c r="D117" s="3"/>
      <c r="E117" t="str" cm="1">
        <f t="array" ref="E117">LLOOKUP(A117,H:H,H:H,0.6,0)</f>
        <v>Robinhood</v>
      </c>
      <c r="F117" s="3" cm="1">
        <f t="array" ref="F117">IF(E117&lt;&gt;"",LevenshteinSimilarity(A117,E117),"")</f>
        <v>0.69230769230769229</v>
      </c>
      <c r="H117" t="s">
        <v>130</v>
      </c>
      <c r="I117">
        <v>94025</v>
      </c>
    </row>
    <row r="118" spans="1:9">
      <c r="A118" t="s">
        <v>440</v>
      </c>
      <c r="B118" t="str" cm="1">
        <f t="array" ref="B118">SLOOKUP(A118,H:H,H:H,0.6,0)</f>
        <v>Roblox</v>
      </c>
      <c r="C118" s="3" cm="1">
        <f t="array" ref="C118">IF(B118&lt;&gt;"",SimpleSim(A118,B118),"")</f>
        <v>0.65</v>
      </c>
      <c r="D118" s="3"/>
      <c r="E118" t="str" cm="1">
        <f t="array" ref="E118">LLOOKUP(A118,H:H,H:H,0.6,0)</f>
        <v>Roblox</v>
      </c>
      <c r="F118" s="3" cm="1">
        <f t="array" ref="F118">IF(E118&lt;&gt;"",LevenshteinSimilarity(A118,E118),"")</f>
        <v>0.6</v>
      </c>
      <c r="H118" t="s">
        <v>131</v>
      </c>
      <c r="I118">
        <v>95054</v>
      </c>
    </row>
    <row r="119" spans="1:9">
      <c r="A119" t="s">
        <v>441</v>
      </c>
      <c r="B119" t="str" cm="1">
        <f t="array" ref="B119">SLOOKUP(A119,H:H,H:H,0.6,0)</f>
        <v/>
      </c>
      <c r="C119" s="3" t="str" cm="1">
        <f t="array" ref="C119">IF(B119&lt;&gt;"",SimpleSim(A119,B119),"")</f>
        <v/>
      </c>
      <c r="D119" s="3"/>
      <c r="E119" t="str" cm="1">
        <f t="array" ref="E119">LLOOKUP(A119,H:H,H:H,0.6,0)</f>
        <v/>
      </c>
      <c r="F119" s="3" t="str" cm="1">
        <f t="array" ref="F119">IF(E119&lt;&gt;"",LevenshteinSimilarity(A119,E119),"")</f>
        <v/>
      </c>
      <c r="H119" t="s">
        <v>132</v>
      </c>
      <c r="I119">
        <v>94560</v>
      </c>
    </row>
    <row r="120" spans="1:9">
      <c r="A120" t="s">
        <v>442</v>
      </c>
      <c r="B120" t="str" cm="1">
        <f t="array" ref="B120">SLOOKUP(A120,H:H,H:H,0.6,0)</f>
        <v>Sandisk</v>
      </c>
      <c r="C120" s="3" cm="1">
        <f t="array" ref="C120">IF(B120&lt;&gt;"",SimpleSim(A120,B120),"")</f>
        <v>0.63636363636363635</v>
      </c>
      <c r="D120" s="3"/>
      <c r="E120" t="str" cm="1">
        <f t="array" ref="E120">LLOOKUP(A120,H:H,H:H,0.6,0)</f>
        <v>Sandisk</v>
      </c>
      <c r="F120" s="3" cm="1">
        <f t="array" ref="F120">IF(E120&lt;&gt;"",LevenshteinSimilarity(A120,E120),"")</f>
        <v>0.63636363636363635</v>
      </c>
      <c r="H120" t="s">
        <v>133</v>
      </c>
      <c r="I120">
        <v>94025</v>
      </c>
    </row>
    <row r="121" spans="1:9">
      <c r="A121" t="s">
        <v>443</v>
      </c>
      <c r="B121" t="str" cm="1">
        <f t="array" ref="B121">SLOOKUP(A121,H:H,H:H,0.6,0)</f>
        <v>Snowflake Computing</v>
      </c>
      <c r="C121" s="3" cm="1">
        <f t="array" ref="C121">IF(B121&lt;&gt;"",SimpleSim(A121,B121),"")</f>
        <v>0.63945578231292521</v>
      </c>
      <c r="D121" s="3"/>
      <c r="E121" t="str" cm="1">
        <f t="array" ref="E121">LLOOKUP(A121,H:H,H:H,0.6,0)</f>
        <v/>
      </c>
      <c r="F121" s="3" t="str" cm="1">
        <f t="array" ref="F121">IF(E121&lt;&gt;"",LevenshteinSimilarity(A121,E121),"")</f>
        <v/>
      </c>
      <c r="H121" t="s">
        <v>134</v>
      </c>
      <c r="I121">
        <v>94043</v>
      </c>
    </row>
    <row r="122" spans="1:9">
      <c r="A122" t="s">
        <v>444</v>
      </c>
      <c r="B122" t="str" cm="1">
        <f t="array" ref="B122">SLOOKUP(A122,H:H,H:H,0.6,0)</f>
        <v>Scalyr</v>
      </c>
      <c r="C122" s="3" cm="1">
        <f t="array" ref="C122">IF(B122&lt;&gt;"",SimpleSim(A122,B122),"")</f>
        <v>0.65</v>
      </c>
      <c r="D122" s="3"/>
      <c r="E122" t="str" cm="1">
        <f t="array" ref="E122">LLOOKUP(A122,H:H,H:H,0.6,0)</f>
        <v>Scalyr</v>
      </c>
      <c r="F122" s="3" cm="1">
        <f t="array" ref="F122">IF(E122&lt;&gt;"",LevenshteinSimilarity(A122,E122),"")</f>
        <v>0.6</v>
      </c>
      <c r="H122" t="s">
        <v>135</v>
      </c>
      <c r="I122">
        <v>94063</v>
      </c>
    </row>
    <row r="123" spans="1:9">
      <c r="A123" t="s">
        <v>445</v>
      </c>
      <c r="B123" t="str" cm="1">
        <f t="array" ref="B123">SLOOKUP(A123,H:H,H:H,0.6,0)</f>
        <v>Seagate</v>
      </c>
      <c r="C123" s="3" cm="1">
        <f t="array" ref="C123">IF(B123&lt;&gt;"",SimpleSim(A123,B123),"")</f>
        <v>0.63636363636363635</v>
      </c>
      <c r="D123" s="3"/>
      <c r="E123" t="str" cm="1">
        <f t="array" ref="E123">LLOOKUP(A123,H:H,H:H,0.6,0)</f>
        <v>Seagate</v>
      </c>
      <c r="F123" s="3" cm="1">
        <f t="array" ref="F123">IF(E123&lt;&gt;"",LevenshteinSimilarity(A123,E123),"")</f>
        <v>0.63636363636363635</v>
      </c>
      <c r="H123" t="s">
        <v>136</v>
      </c>
      <c r="I123">
        <v>94043</v>
      </c>
    </row>
    <row r="124" spans="1:9">
      <c r="A124" t="s">
        <v>446</v>
      </c>
      <c r="B124" t="str" cm="1">
        <f t="array" ref="B124">SLOOKUP(A124,H:H,H:H,0.6,0)</f>
        <v>Securly</v>
      </c>
      <c r="C124" s="3" cm="1">
        <f t="array" ref="C124">IF(B124&lt;&gt;"",SimpleSim(A124,B124),"")</f>
        <v>0.66666666666666663</v>
      </c>
      <c r="D124" s="3"/>
      <c r="E124" t="str" cm="1">
        <f t="array" ref="E124">LLOOKUP(A124,H:H,H:H,0.6,0)</f>
        <v>Securly</v>
      </c>
      <c r="F124" s="3" cm="1">
        <f t="array" ref="F124">IF(E124&lt;&gt;"",LevenshteinSimilarity(A124,E124),"")</f>
        <v>0.63636363636363635</v>
      </c>
      <c r="H124" t="s">
        <v>137</v>
      </c>
      <c r="I124">
        <v>94402</v>
      </c>
    </row>
    <row r="125" spans="1:9">
      <c r="A125" t="s">
        <v>447</v>
      </c>
      <c r="B125" t="str" cm="1">
        <f t="array" ref="B125">SLOOKUP(A125,H:H,H:H,0.6,0)</f>
        <v>Sendbird</v>
      </c>
      <c r="C125" s="3" cm="1">
        <f t="array" ref="C125">IF(B125&lt;&gt;"",SimpleSim(A125,B125),"")</f>
        <v>0.66666666666666663</v>
      </c>
      <c r="D125" s="3"/>
      <c r="E125" t="str" cm="1">
        <f t="array" ref="E125">LLOOKUP(A125,H:H,H:H,0.6,0)</f>
        <v>Sendbird</v>
      </c>
      <c r="F125" s="3" cm="1">
        <f t="array" ref="F125">IF(E125&lt;&gt;"",LevenshteinSimilarity(A125,E125),"")</f>
        <v>0.66666666666666663</v>
      </c>
      <c r="H125" t="s">
        <v>138</v>
      </c>
      <c r="I125">
        <v>94089</v>
      </c>
    </row>
    <row r="126" spans="1:9">
      <c r="A126" t="s">
        <v>448</v>
      </c>
      <c r="B126" t="str" cm="1">
        <f t="array" ref="B126">SLOOKUP(A126,H:H,H:H,0.6,0)</f>
        <v>Sendgrid</v>
      </c>
      <c r="C126" s="3" cm="1">
        <f t="array" ref="C126">IF(B126&lt;&gt;"",SimpleSim(A126,B126),"")</f>
        <v>0.66666666666666663</v>
      </c>
      <c r="D126" s="3"/>
      <c r="E126" t="str" cm="1">
        <f t="array" ref="E126">LLOOKUP(A126,H:H,H:H,0.6,0)</f>
        <v>Sendgrid</v>
      </c>
      <c r="F126" s="3" cm="1">
        <f t="array" ref="F126">IF(E126&lt;&gt;"",LevenshteinSimilarity(A126,E126),"")</f>
        <v>0.66666666666666663</v>
      </c>
      <c r="H126" t="s">
        <v>139</v>
      </c>
      <c r="I126">
        <v>94025</v>
      </c>
    </row>
    <row r="127" spans="1:9">
      <c r="A127" t="s">
        <v>449</v>
      </c>
      <c r="B127" t="str" cm="1">
        <f t="array" ref="B127">SLOOKUP(A127,H:H,H:H,0.6,0)</f>
        <v>SentinelOne</v>
      </c>
      <c r="C127" s="3" cm="1">
        <f t="array" ref="C127">IF(B127&lt;&gt;"",SimpleSim(A127,B127),"")</f>
        <v>0.7407407407407407</v>
      </c>
      <c r="D127" s="3"/>
      <c r="E127" t="str" cm="1">
        <f t="array" ref="E127">LLOOKUP(A127,H:H,H:H,0.6,0)</f>
        <v>SentinelOne</v>
      </c>
      <c r="F127" s="3" cm="1">
        <f t="array" ref="F127">IF(E127&lt;&gt;"",LevenshteinSimilarity(A127,E127),"")</f>
        <v>0.73333333333333328</v>
      </c>
      <c r="H127" t="s">
        <v>140</v>
      </c>
      <c r="I127">
        <v>94043</v>
      </c>
    </row>
    <row r="128" spans="1:9">
      <c r="A128" t="s">
        <v>450</v>
      </c>
      <c r="B128" t="str" cm="1">
        <f t="array" ref="B128">SLOOKUP(A128,H:H,H:H,0.6,0)</f>
        <v>Sequoia Capital</v>
      </c>
      <c r="C128" s="3" cm="1">
        <f t="array" ref="C128">IF(B128&lt;&gt;"",SimpleSim(A128,B128),"")</f>
        <v>0.7761904761904761</v>
      </c>
      <c r="D128" s="3"/>
      <c r="E128" t="str" cm="1">
        <f t="array" ref="E128">LLOOKUP(A128,H:H,H:H,0.6,0)</f>
        <v>Sequoia Capital</v>
      </c>
      <c r="F128" s="3" cm="1">
        <f t="array" ref="F128">IF(E128&lt;&gt;"",LevenshteinSimilarity(A128,E128),"")</f>
        <v>0.6428571428571429</v>
      </c>
      <c r="H128" t="s">
        <v>141</v>
      </c>
      <c r="I128">
        <v>94025</v>
      </c>
    </row>
    <row r="129" spans="1:9">
      <c r="A129" t="s">
        <v>451</v>
      </c>
      <c r="B129" t="str" cm="1">
        <f t="array" ref="B129">SLOOKUP(A129,H:H,H:H,0.6,0)</f>
        <v>Shasta Ventures</v>
      </c>
      <c r="C129" s="3" cm="1">
        <f t="array" ref="C129">IF(B129&lt;&gt;"",SimpleSim(A129,B129),"")</f>
        <v>0.75555555555555554</v>
      </c>
      <c r="D129" s="3"/>
      <c r="E129" t="str" cm="1">
        <f t="array" ref="E129">LLOOKUP(A129,H:H,H:H,0.6,0)</f>
        <v>Shasta Ventures</v>
      </c>
      <c r="F129" s="3" cm="1">
        <f t="array" ref="F129">IF(E129&lt;&gt;"",LevenshteinSimilarity(A129,E129),"")</f>
        <v>0.72222222222222221</v>
      </c>
      <c r="H129" t="s">
        <v>142</v>
      </c>
      <c r="I129">
        <v>94025</v>
      </c>
    </row>
    <row r="130" spans="1:9">
      <c r="A130" t="s">
        <v>452</v>
      </c>
      <c r="B130" t="str" cm="1">
        <f t="array" ref="B130">SLOOKUP(A130,H:H,H:H,0.6,0)</f>
        <v>Shazam</v>
      </c>
      <c r="C130" s="3" cm="1">
        <f t="array" ref="C130">IF(B130&lt;&gt;"",SimpleSim(A130,B130),"")</f>
        <v>0.6166666666666667</v>
      </c>
      <c r="D130" s="3"/>
      <c r="E130" t="str" cm="1">
        <f t="array" ref="E130">LLOOKUP(A130,H:H,H:H,0.6,0)</f>
        <v>Shazam</v>
      </c>
      <c r="F130" s="3" cm="1">
        <f t="array" ref="F130">IF(E130&lt;&gt;"",LevenshteinSimilarity(A130,E130),"")</f>
        <v>0.6</v>
      </c>
      <c r="H130" t="s">
        <v>143</v>
      </c>
      <c r="I130">
        <v>94025</v>
      </c>
    </row>
    <row r="131" spans="1:9">
      <c r="A131" t="s">
        <v>453</v>
      </c>
      <c r="B131" t="str" cm="1">
        <f t="array" ref="B131">SLOOKUP(A131,H:H,H:H,0.6,0)</f>
        <v>Shutterfly</v>
      </c>
      <c r="C131" s="3" cm="1">
        <f t="array" ref="C131">IF(B131&lt;&gt;"",SimpleSim(A131,B131),"")</f>
        <v>0.7142857142857143</v>
      </c>
      <c r="D131" s="3"/>
      <c r="E131" t="str" cm="1">
        <f t="array" ref="E131">LLOOKUP(A131,H:H,H:H,0.6,0)</f>
        <v>Shutterfly</v>
      </c>
      <c r="F131" s="3" cm="1">
        <f t="array" ref="F131">IF(E131&lt;&gt;"",LevenshteinSimilarity(A131,E131),"")</f>
        <v>0.7142857142857143</v>
      </c>
      <c r="H131" t="s">
        <v>144</v>
      </c>
      <c r="I131">
        <v>95014</v>
      </c>
    </row>
    <row r="132" spans="1:9">
      <c r="A132" t="s">
        <v>454</v>
      </c>
      <c r="B132" t="str" cm="1">
        <f t="array" ref="B132">SLOOKUP(A132,H:H,H:H,0.6,0)</f>
        <v>Sibly</v>
      </c>
      <c r="C132" s="3" cm="1">
        <f t="array" ref="C132">IF(B132&lt;&gt;"",SimpleSim(A132,B132),"")</f>
        <v>0.625</v>
      </c>
      <c r="D132" s="3"/>
      <c r="E132" t="str" cm="1">
        <f t="array" ref="E132">LLOOKUP(A132,H:H,H:H,0.6,0)</f>
        <v>Sibly</v>
      </c>
      <c r="F132" s="3" cm="1">
        <f t="array" ref="F132">IF(E132&lt;&gt;"",LevenshteinSimilarity(A132,E132),"")</f>
        <v>0.625</v>
      </c>
      <c r="H132" t="s">
        <v>145</v>
      </c>
      <c r="I132">
        <v>94303</v>
      </c>
    </row>
    <row r="133" spans="1:9">
      <c r="A133" t="s">
        <v>455</v>
      </c>
      <c r="B133" t="str" cm="1">
        <f t="array" ref="B133">SLOOKUP(A133,H:H,H:H,0.6,0)</f>
        <v>SignalFx</v>
      </c>
      <c r="C133" s="3" cm="1">
        <f t="array" ref="C133">IF(B133&lt;&gt;"",SimpleSim(A133,B133),"")</f>
        <v>0.66666666666666663</v>
      </c>
      <c r="D133" s="3"/>
      <c r="E133" t="str" cm="1">
        <f t="array" ref="E133">LLOOKUP(A133,H:H,H:H,0.6,0)</f>
        <v>SignalFx</v>
      </c>
      <c r="F133" s="3" cm="1">
        <f t="array" ref="F133">IF(E133&lt;&gt;"",LevenshteinSimilarity(A133,E133),"")</f>
        <v>0.66666666666666663</v>
      </c>
      <c r="H133" t="s">
        <v>146</v>
      </c>
      <c r="I133">
        <v>94025</v>
      </c>
    </row>
    <row r="134" spans="1:9">
      <c r="A134" t="s">
        <v>456</v>
      </c>
      <c r="B134" t="str" cm="1">
        <f t="array" ref="B134">SLOOKUP(A134,H:H,H:H,0.6,0)</f>
        <v>Sizmek</v>
      </c>
      <c r="C134" s="3" cm="1">
        <f t="array" ref="C134">IF(B134&lt;&gt;"",SimpleSim(A134,B134),"")</f>
        <v>0.625</v>
      </c>
      <c r="D134" s="3"/>
      <c r="E134" t="str" cm="1">
        <f t="array" ref="E134">LLOOKUP(A134,H:H,H:H,0.6,0)</f>
        <v>Sizmek</v>
      </c>
      <c r="F134" s="3" cm="1">
        <f t="array" ref="F134">IF(E134&lt;&gt;"",LevenshteinSimilarity(A134,E134),"")</f>
        <v>0.6</v>
      </c>
      <c r="H134" t="s">
        <v>147</v>
      </c>
      <c r="I134">
        <v>94041</v>
      </c>
    </row>
    <row r="135" spans="1:9">
      <c r="A135" t="s">
        <v>457</v>
      </c>
      <c r="B135" t="str" cm="1">
        <f t="array" ref="B135">SLOOKUP(A135,H:H,H:H,0.6,0)</f>
        <v>SmugMug</v>
      </c>
      <c r="C135" s="3" cm="1">
        <f t="array" ref="C135">IF(B135&lt;&gt;"",SimpleSim(A135,B135),"")</f>
        <v>0.68181818181818177</v>
      </c>
      <c r="D135" s="3"/>
      <c r="E135" t="str" cm="1">
        <f t="array" ref="E135">LLOOKUP(A135,H:H,H:H,0.6,0)</f>
        <v>SmugMug</v>
      </c>
      <c r="F135" s="3" cm="1">
        <f t="array" ref="F135">IF(E135&lt;&gt;"",LevenshteinSimilarity(A135,E135),"")</f>
        <v>0.63636363636363635</v>
      </c>
      <c r="H135" t="s">
        <v>148</v>
      </c>
      <c r="I135">
        <v>94560</v>
      </c>
    </row>
    <row r="136" spans="1:9">
      <c r="A136" t="s">
        <v>458</v>
      </c>
      <c r="B136" t="str" cm="1">
        <f t="array" ref="B136">SLOOKUP(A136,H:H,H:H,0.6,0)</f>
        <v>SnapLogic</v>
      </c>
      <c r="C136" s="3" cm="1">
        <f t="array" ref="C136">IF(B136&lt;&gt;"",SimpleSim(A136,B136),"")</f>
        <v>0.71623931623931614</v>
      </c>
      <c r="D136" s="3"/>
      <c r="E136" t="str" cm="1">
        <f t="array" ref="E136">LLOOKUP(A136,H:H,H:H,0.6,0)</f>
        <v>SnapLogic</v>
      </c>
      <c r="F136" s="3" cm="1">
        <f t="array" ref="F136">IF(E136&lt;&gt;"",LevenshteinSimilarity(A136,E136),"")</f>
        <v>0.69230769230769229</v>
      </c>
      <c r="H136" t="s">
        <v>149</v>
      </c>
      <c r="I136">
        <v>94402</v>
      </c>
    </row>
    <row r="137" spans="1:9">
      <c r="A137" t="s">
        <v>459</v>
      </c>
      <c r="B137" t="str" cm="1">
        <f t="array" ref="B137">SLOOKUP(A137,H:H,H:H,0.6,0)</f>
        <v>Snowflake Computing</v>
      </c>
      <c r="C137" s="3" cm="1">
        <f t="array" ref="C137">IF(B137&lt;&gt;"",SimpleSim(A137,B137),"")</f>
        <v>1</v>
      </c>
      <c r="D137" s="3"/>
      <c r="E137" t="str" cm="1">
        <f t="array" ref="E137">LLOOKUP(A137,H:H,H:H,0.6,0)</f>
        <v>Snowflake Computing</v>
      </c>
      <c r="F137" s="3" cm="1">
        <f t="array" ref="F137">IF(E137&lt;&gt;"",LevenshteinSimilarity(A137,E137),"")</f>
        <v>1</v>
      </c>
      <c r="H137" t="s">
        <v>150</v>
      </c>
      <c r="I137">
        <v>94303</v>
      </c>
    </row>
    <row r="138" spans="1:9">
      <c r="A138" t="s">
        <v>461</v>
      </c>
      <c r="B138" t="str" cm="1">
        <f t="array" ref="B138">SLOOKUP(A138,H:H,H:H,0.6,0)</f>
        <v/>
      </c>
      <c r="C138" s="3" t="str" cm="1">
        <f t="array" ref="C138">IF(B138&lt;&gt;"",SimpleSim(A138,B138),"")</f>
        <v/>
      </c>
      <c r="D138" s="3"/>
      <c r="E138" t="str" cm="1">
        <f t="array" ref="E138">LLOOKUP(A138,H:H,H:H,0.6,0)</f>
        <v/>
      </c>
      <c r="F138" s="3" t="str" cm="1">
        <f t="array" ref="F138">IF(E138&lt;&gt;"",LevenshteinSimilarity(A138,E138),"")</f>
        <v/>
      </c>
      <c r="H138" t="s">
        <v>151</v>
      </c>
      <c r="I138">
        <v>94025</v>
      </c>
    </row>
    <row r="139" spans="1:9">
      <c r="A139" t="s">
        <v>463</v>
      </c>
      <c r="B139" t="str" cm="1">
        <f t="array" ref="B139">SLOOKUP(A139,H:H,H:H,0.6,0)</f>
        <v>Sterling Communications</v>
      </c>
      <c r="C139" s="3" cm="1">
        <f t="array" ref="C139">IF(B139&lt;&gt;"",SimpleSim(A139,B139),"")</f>
        <v>0.81785714285714284</v>
      </c>
      <c r="D139" s="3"/>
      <c r="E139" t="str" cm="1">
        <f t="array" ref="E139">LLOOKUP(A139,H:H,H:H,0.6,0)</f>
        <v/>
      </c>
      <c r="F139" s="3" t="str" cm="1">
        <f t="array" ref="F139">IF(E139&lt;&gt;"",LevenshteinSimilarity(A139,E139),"")</f>
        <v/>
      </c>
      <c r="H139" t="s">
        <v>152</v>
      </c>
      <c r="I139">
        <v>95134</v>
      </c>
    </row>
    <row r="140" spans="1:9">
      <c r="A140" t="s">
        <v>464</v>
      </c>
      <c r="B140" t="str" cm="1">
        <f t="array" ref="B140">SLOOKUP(A140,H:H,H:H,0.6,0)</f>
        <v>Storm Ventures</v>
      </c>
      <c r="C140" s="3" cm="1">
        <f t="array" ref="C140">IF(B140&lt;&gt;"",SimpleSim(A140,B140),"")</f>
        <v>0.79019607843137252</v>
      </c>
      <c r="D140" s="3"/>
      <c r="E140" t="str" cm="1">
        <f t="array" ref="E140">LLOOKUP(A140,H:H,H:H,0.6,0)</f>
        <v>Storm Ventures</v>
      </c>
      <c r="F140" s="3" cm="1">
        <f t="array" ref="F140">IF(E140&lt;&gt;"",LevenshteinSimilarity(A140,E140),"")</f>
        <v>0.70588235294117652</v>
      </c>
      <c r="H140" t="s">
        <v>153</v>
      </c>
      <c r="I140">
        <v>94404</v>
      </c>
    </row>
    <row r="141" spans="1:9">
      <c r="A141" t="s">
        <v>465</v>
      </c>
      <c r="B141" t="str" cm="1">
        <f t="array" ref="B141">SLOOKUP(A141,H:H,H:H,0.6,0)</f>
        <v>Sumo Logic</v>
      </c>
      <c r="C141" s="3" cm="1">
        <f t="array" ref="C141">IF(B141&lt;&gt;"",SimpleSim(A141,B141),"")</f>
        <v>0.70842490842490824</v>
      </c>
      <c r="D141" s="3"/>
      <c r="E141" t="str" cm="1">
        <f t="array" ref="E141">LLOOKUP(A141,H:H,H:H,0.6,0)</f>
        <v>Sumo Logic</v>
      </c>
      <c r="F141" s="3" cm="1">
        <f t="array" ref="F141">IF(E141&lt;&gt;"",LevenshteinSimilarity(A141,E141),"")</f>
        <v>0.61538461538461542</v>
      </c>
      <c r="H141" t="s">
        <v>154</v>
      </c>
      <c r="I141">
        <v>94070</v>
      </c>
    </row>
    <row r="142" spans="1:9">
      <c r="A142" t="s">
        <v>466</v>
      </c>
      <c r="B142" t="str" cm="1">
        <f t="array" ref="B142">SLOOKUP(A142,H:H,H:H,0.6,0)</f>
        <v>SurveyMonkey</v>
      </c>
      <c r="C142" s="3" cm="1">
        <f t="array" ref="C142">IF(B142&lt;&gt;"",SimpleSim(A142,B142),"")</f>
        <v>0.77864583333333337</v>
      </c>
      <c r="D142" s="3"/>
      <c r="E142" t="str" cm="1">
        <f t="array" ref="E142">LLOOKUP(A142,H:H,H:H,0.6,0)</f>
        <v>SurveyMonkey</v>
      </c>
      <c r="F142" s="3" cm="1">
        <f t="array" ref="F142">IF(E142&lt;&gt;"",LevenshteinSimilarity(A142,E142),"")</f>
        <v>0.75</v>
      </c>
      <c r="H142" t="s">
        <v>155</v>
      </c>
      <c r="I142">
        <v>95054</v>
      </c>
    </row>
    <row r="143" spans="1:9">
      <c r="A143" t="s">
        <v>467</v>
      </c>
      <c r="B143" t="str" cm="1">
        <f t="array" ref="B143">SLOOKUP(A143,H:H,H:H,0.6,0)</f>
        <v>SVG Ventures</v>
      </c>
      <c r="C143" s="3" cm="1">
        <f t="array" ref="C143">IF(B143&lt;&gt;"",SimpleSim(A143,B143),"")</f>
        <v>0.70666666666666667</v>
      </c>
      <c r="D143" s="3"/>
      <c r="E143" t="str" cm="1">
        <f t="array" ref="E143">LLOOKUP(A143,H:H,H:H,0.6,0)</f>
        <v>SVG Ventures</v>
      </c>
      <c r="F143" s="3" cm="1">
        <f t="array" ref="F143">IF(E143&lt;&gt;"",LevenshteinSimilarity(A143,E143),"")</f>
        <v>0.66666666666666663</v>
      </c>
      <c r="H143" t="s">
        <v>156</v>
      </c>
      <c r="I143">
        <v>94301</v>
      </c>
    </row>
    <row r="144" spans="1:9">
      <c r="A144" t="s">
        <v>468</v>
      </c>
      <c r="B144" t="str" cm="1">
        <f t="array" ref="B144">SLOOKUP(A144,H:H,H:H,0.6,0)</f>
        <v>Syllable.ai</v>
      </c>
      <c r="C144" s="3" cm="1">
        <f t="array" ref="C144">IF(B144&lt;&gt;"",SimpleSim(A144,B144),"")</f>
        <v>1</v>
      </c>
      <c r="D144" s="3"/>
      <c r="E144" t="str" cm="1">
        <f t="array" ref="E144">LLOOKUP(A144,H:H,H:H,0.6,0)</f>
        <v>Syllable.ai</v>
      </c>
      <c r="F144" s="3" cm="1">
        <f t="array" ref="F144">IF(E144&lt;&gt;"",LevenshteinSimilarity(A144,E144),"")</f>
        <v>1</v>
      </c>
      <c r="H144" t="s">
        <v>157</v>
      </c>
      <c r="I144">
        <v>94025</v>
      </c>
    </row>
    <row r="145" spans="1:9">
      <c r="A145" t="s">
        <v>469</v>
      </c>
      <c r="B145" t="str" cm="1">
        <f t="array" ref="B145">SLOOKUP(A145,H:H,H:H,0.6,0)</f>
        <v>Symantec</v>
      </c>
      <c r="C145" s="3" cm="1">
        <f t="array" ref="C145">IF(B145&lt;&gt;"",SimpleSim(A145,B145),"")</f>
        <v>0.70486111111111116</v>
      </c>
      <c r="D145" s="3"/>
      <c r="E145" t="str" cm="1">
        <f t="array" ref="E145">LLOOKUP(A145,H:H,H:H,0.6,0)</f>
        <v>Symantec</v>
      </c>
      <c r="F145" s="3" cm="1">
        <f t="array" ref="F145">IF(E145&lt;&gt;"",LevenshteinSimilarity(A145,E145),"")</f>
        <v>0.66666666666666663</v>
      </c>
      <c r="H145" t="s">
        <v>158</v>
      </c>
      <c r="I145">
        <v>95054</v>
      </c>
    </row>
    <row r="146" spans="1:9">
      <c r="A146" t="s">
        <v>470</v>
      </c>
      <c r="B146" t="str" cm="1">
        <f t="array" ref="B146">SLOOKUP(A146,H:H,H:H,0.6,0)</f>
        <v>Synopsys</v>
      </c>
      <c r="C146" s="3" cm="1">
        <f t="array" ref="C146">IF(B146&lt;&gt;"",SimpleSim(A146,B146),"")</f>
        <v>0.6875</v>
      </c>
      <c r="D146" s="3"/>
      <c r="E146" t="str" cm="1">
        <f t="array" ref="E146">LLOOKUP(A146,H:H,H:H,0.6,0)</f>
        <v>Synopsys</v>
      </c>
      <c r="F146" s="3" cm="1">
        <f t="array" ref="F146">IF(E146&lt;&gt;"",LevenshteinSimilarity(A146,E146),"")</f>
        <v>0.66666666666666663</v>
      </c>
      <c r="H146" t="s">
        <v>159</v>
      </c>
      <c r="I146">
        <v>94025</v>
      </c>
    </row>
    <row r="147" spans="1:9">
      <c r="A147" t="s">
        <v>471</v>
      </c>
      <c r="B147" t="str" cm="1">
        <f t="array" ref="B147">SLOOKUP(A147,H:H,H:H,0.6,0)</f>
        <v>TalentSeer</v>
      </c>
      <c r="C147" s="3" cm="1">
        <f t="array" ref="C147">IF(B147&lt;&gt;"",SimpleSim(A147,B147),"")</f>
        <v>0.7142857142857143</v>
      </c>
      <c r="D147" s="3"/>
      <c r="E147" t="str" cm="1">
        <f t="array" ref="E147">LLOOKUP(A147,H:H,H:H,0.6,0)</f>
        <v>TalentSeer</v>
      </c>
      <c r="F147" s="3" cm="1">
        <f t="array" ref="F147">IF(E147&lt;&gt;"",LevenshteinSimilarity(A147,E147),"")</f>
        <v>0.7142857142857143</v>
      </c>
      <c r="H147" t="s">
        <v>160</v>
      </c>
      <c r="I147">
        <v>94538</v>
      </c>
    </row>
    <row r="148" spans="1:9">
      <c r="A148" t="s">
        <v>472</v>
      </c>
      <c r="B148" t="str" cm="1">
        <f t="array" ref="B148">SLOOKUP(A148,H:H,H:H,0.6,0)</f>
        <v>Tata Consultancy Services</v>
      </c>
      <c r="C148" s="3" cm="1">
        <f t="array" ref="C148">IF(B148&lt;&gt;"",SimpleSim(A148,B148),"")</f>
        <v>0.60833333333333339</v>
      </c>
      <c r="D148" s="3"/>
      <c r="E148" t="str" cm="1">
        <f t="array" ref="E148">LLOOKUP(A148,H:H,H:H,0.6,0)</f>
        <v/>
      </c>
      <c r="F148" s="3" t="str" cm="1">
        <f t="array" ref="F148">IF(E148&lt;&gt;"",LevenshteinSimilarity(A148,E148),"")</f>
        <v/>
      </c>
      <c r="H148" t="s">
        <v>161</v>
      </c>
      <c r="I148">
        <v>94403</v>
      </c>
    </row>
    <row r="149" spans="1:9">
      <c r="A149" t="s">
        <v>473</v>
      </c>
      <c r="B149" t="str" cm="1">
        <f t="array" ref="B149">SLOOKUP(A149,H:H,H:H,0.6,0)</f>
        <v>Tascent</v>
      </c>
      <c r="C149" s="3" cm="1">
        <f t="array" ref="C149">IF(B149&lt;&gt;"",SimpleSim(A149,B149),"")</f>
        <v>0.65909090909090906</v>
      </c>
      <c r="D149" s="3"/>
      <c r="E149" t="str" cm="1">
        <f t="array" ref="E149">LLOOKUP(A149,H:H,H:H,0.6,0)</f>
        <v>Tascent</v>
      </c>
      <c r="F149" s="3" cm="1">
        <f t="array" ref="F149">IF(E149&lt;&gt;"",LevenshteinSimilarity(A149,E149),"")</f>
        <v>0.63636363636363635</v>
      </c>
      <c r="H149" t="s">
        <v>162</v>
      </c>
      <c r="I149">
        <v>94303</v>
      </c>
    </row>
    <row r="150" spans="1:9">
      <c r="A150" t="s">
        <v>474</v>
      </c>
      <c r="B150" t="str" cm="1">
        <f t="array" ref="B150">SLOOKUP(A150,H:H,H:H,0.6,0)</f>
        <v/>
      </c>
      <c r="C150" s="3" t="str" cm="1">
        <f t="array" ref="C150">IF(B150&lt;&gt;"",SimpleSim(A150,B150),"")</f>
        <v/>
      </c>
      <c r="D150" s="3"/>
      <c r="E150" t="str" cm="1">
        <f t="array" ref="E150">LLOOKUP(A150,H:H,H:H,0.6,0)</f>
        <v/>
      </c>
      <c r="F150" s="3" t="str" cm="1">
        <f t="array" ref="F150">IF(E150&lt;&gt;"",LevenshteinSimilarity(A150,E150),"")</f>
        <v/>
      </c>
      <c r="H150" t="s">
        <v>163</v>
      </c>
      <c r="I150">
        <v>95113</v>
      </c>
    </row>
    <row r="151" spans="1:9">
      <c r="A151" t="s">
        <v>477</v>
      </c>
      <c r="B151" t="str" cm="1">
        <f t="array" ref="B151">SLOOKUP(A151,H:H,H:H,0.6,0)</f>
        <v>TIBCO Software</v>
      </c>
      <c r="C151" s="3" cm="1">
        <f t="array" ref="C151">IF(B151&lt;&gt;"",SimpleSim(A151,B151),"")</f>
        <v>0.80555555555555558</v>
      </c>
      <c r="D151" s="3"/>
      <c r="E151" t="str" cm="1">
        <f t="array" ref="E151">LLOOKUP(A151,H:H,H:H,0.6,0)</f>
        <v/>
      </c>
      <c r="F151" s="3" t="str" cm="1">
        <f t="array" ref="F151">IF(E151&lt;&gt;"",LevenshteinSimilarity(A151,E151),"")</f>
        <v/>
      </c>
      <c r="H151" t="s">
        <v>164</v>
      </c>
      <c r="I151">
        <v>94043</v>
      </c>
    </row>
    <row r="152" spans="1:9">
      <c r="A152" t="s">
        <v>478</v>
      </c>
      <c r="B152" t="str" cm="1">
        <f t="array" ref="B152">SLOOKUP(A152,H:H,H:H,0.6,0)</f>
        <v>TriplePoint Capital</v>
      </c>
      <c r="C152" s="3" cm="1">
        <f t="array" ref="C152">IF(B152&lt;&gt;"",SimpleSim(A152,B152),"")</f>
        <v>0.85245310245310246</v>
      </c>
      <c r="D152" s="3"/>
      <c r="E152" t="str" cm="1">
        <f t="array" ref="E152">LLOOKUP(A152,H:H,H:H,0.6,0)</f>
        <v>TriplePoint Capital</v>
      </c>
      <c r="F152" s="3" cm="1">
        <f t="array" ref="F152">IF(E152&lt;&gt;"",LevenshteinSimilarity(A152,E152),"")</f>
        <v>0.77272727272727271</v>
      </c>
      <c r="H152" t="s">
        <v>165</v>
      </c>
      <c r="I152">
        <v>94404</v>
      </c>
    </row>
    <row r="153" spans="1:9">
      <c r="A153" t="s">
        <v>298</v>
      </c>
      <c r="B153" t="str" cm="1">
        <f t="array" ref="B153">SLOOKUP(A153,H:H,H:H,0.6,0)</f>
        <v/>
      </c>
      <c r="C153" s="3" t="str" cm="1">
        <f t="array" ref="C153">IF(B153&lt;&gt;"",SimpleSim(A153,B153),"")</f>
        <v/>
      </c>
      <c r="D153" s="3"/>
      <c r="E153" t="str" cm="1">
        <f t="array" ref="E153">LLOOKUP(A153,H:H,H:H,0.6,0)</f>
        <v/>
      </c>
      <c r="F153" s="3" t="str" cm="1">
        <f t="array" ref="F153">IF(E153&lt;&gt;"",LevenshteinSimilarity(A153,E153),"")</f>
        <v/>
      </c>
      <c r="H153" t="s">
        <v>166</v>
      </c>
      <c r="I153">
        <v>94025</v>
      </c>
    </row>
    <row r="154" spans="1:9">
      <c r="A154" t="s">
        <v>479</v>
      </c>
      <c r="B154" t="str" cm="1">
        <f t="array" ref="B154">SLOOKUP(A154,H:H,H:H,0.6,0)</f>
        <v>Sterling Communications</v>
      </c>
      <c r="C154" s="3" cm="1">
        <f t="array" ref="C154">IF(B154&lt;&gt;"",SimpleSim(A154,B154),"")</f>
        <v>0.64880952380952384</v>
      </c>
      <c r="D154" s="3"/>
      <c r="E154" t="str" cm="1">
        <f t="array" ref="E154">LLOOKUP(A154,H:H,H:H,0.6,0)</f>
        <v>TuneIn</v>
      </c>
      <c r="F154" s="3" cm="1">
        <f t="array" ref="F154">IF(E154&lt;&gt;"",LevenshteinSimilarity(A154,E154),"")</f>
        <v>0.6</v>
      </c>
      <c r="H154" t="s">
        <v>167</v>
      </c>
      <c r="I154">
        <v>94301</v>
      </c>
    </row>
    <row r="155" spans="1:9">
      <c r="A155" t="s">
        <v>482</v>
      </c>
      <c r="B155" t="str" cm="1">
        <f t="array" ref="B155">SLOOKUP(A155,H:H,H:H,0.6,0)</f>
        <v>Sterling Communications</v>
      </c>
      <c r="C155" s="3" cm="1">
        <f t="array" ref="C155">IF(B155&lt;&gt;"",SimpleSim(A155,B155),"")</f>
        <v>0.6128747795414462</v>
      </c>
      <c r="D155" s="3"/>
      <c r="E155" t="str" cm="1">
        <f t="array" ref="E155">LLOOKUP(A155,H:H,H:H,0.6,0)</f>
        <v/>
      </c>
      <c r="F155" s="3" t="str" cm="1">
        <f t="array" ref="F155">IF(E155&lt;&gt;"",LevenshteinSimilarity(A155,E155),"")</f>
        <v/>
      </c>
      <c r="H155" t="s">
        <v>168</v>
      </c>
      <c r="I155">
        <v>94025</v>
      </c>
    </row>
    <row r="156" spans="1:9">
      <c r="A156" t="s">
        <v>301</v>
      </c>
      <c r="B156" t="str" cm="1">
        <f t="array" ref="B156">SLOOKUP(A156,H:H,H:H,0.6,0)</f>
        <v/>
      </c>
      <c r="C156" s="3" t="str" cm="1">
        <f t="array" ref="C156">IF(B156&lt;&gt;"",SimpleSim(A156,B156),"")</f>
        <v/>
      </c>
      <c r="D156" s="3"/>
      <c r="E156" t="str" cm="1">
        <f t="array" ref="E156">LLOOKUP(A156,H:H,H:H,0.6,0)</f>
        <v/>
      </c>
      <c r="F156" s="3" t="str" cm="1">
        <f t="array" ref="F156">IF(E156&lt;&gt;"",LevenshteinSimilarity(A156,E156),"")</f>
        <v/>
      </c>
      <c r="H156" t="s">
        <v>169</v>
      </c>
      <c r="I156">
        <v>94303</v>
      </c>
    </row>
    <row r="157" spans="1:9">
      <c r="A157" t="s">
        <v>486</v>
      </c>
      <c r="B157" t="str" cm="1">
        <f t="array" ref="B157">SLOOKUP(A157,H:H,H:H,0.6,0)</f>
        <v/>
      </c>
      <c r="C157" s="3" t="str" cm="1">
        <f t="array" ref="C157">IF(B157&lt;&gt;"",SimpleSim(A157,B157),"")</f>
        <v/>
      </c>
      <c r="D157" s="3"/>
      <c r="E157" t="str" cm="1">
        <f t="array" ref="E157">LLOOKUP(A157,H:H,H:H,0.6,0)</f>
        <v/>
      </c>
      <c r="F157" s="3" t="str" cm="1">
        <f t="array" ref="F157">IF(E157&lt;&gt;"",LevenshteinSimilarity(A157,E157),"")</f>
        <v/>
      </c>
      <c r="H157" t="s">
        <v>170</v>
      </c>
      <c r="I157">
        <v>94089</v>
      </c>
    </row>
    <row r="158" spans="1:9">
      <c r="A158" t="s">
        <v>484</v>
      </c>
      <c r="B158" t="str" cm="1">
        <f t="array" ref="B158">SLOOKUP(A158,H:H,H:H,0.6,0)</f>
        <v>Verkada</v>
      </c>
      <c r="C158" s="3" cm="1">
        <f t="array" ref="C158">IF(B158&lt;&gt;"",SimpleSim(A158,B158),"")</f>
        <v>0.63636363636363635</v>
      </c>
      <c r="D158" s="3"/>
      <c r="E158" t="str" cm="1">
        <f t="array" ref="E158">LLOOKUP(A158,H:H,H:H,0.6,0)</f>
        <v>Verkada</v>
      </c>
      <c r="F158" s="3" cm="1">
        <f t="array" ref="F158">IF(E158&lt;&gt;"",LevenshteinSimilarity(A158,E158),"")</f>
        <v>0.63636363636363635</v>
      </c>
      <c r="H158" t="s">
        <v>171</v>
      </c>
      <c r="I158">
        <v>95032</v>
      </c>
    </row>
    <row r="159" spans="1:9">
      <c r="A159" t="s">
        <v>485</v>
      </c>
      <c r="B159" t="str" cm="1">
        <f t="array" ref="B159">SLOOKUP(A159,H:H,H:H,0.6,0)</f>
        <v>Virtusa</v>
      </c>
      <c r="C159" s="3" cm="1">
        <f t="array" ref="C159">IF(B159&lt;&gt;"",SimpleSim(A159,B159),"")</f>
        <v>0.63636363636363635</v>
      </c>
      <c r="D159" s="3"/>
      <c r="E159" t="str" cm="1">
        <f t="array" ref="E159">LLOOKUP(A159,H:H,H:H,0.6,0)</f>
        <v>Virtusa</v>
      </c>
      <c r="F159" s="3" cm="1">
        <f t="array" ref="F159">IF(E159&lt;&gt;"",LevenshteinSimilarity(A159,E159),"")</f>
        <v>0.63636363636363635</v>
      </c>
      <c r="H159" t="s">
        <v>172</v>
      </c>
      <c r="I159">
        <v>94040</v>
      </c>
    </row>
    <row r="160" spans="1:9">
      <c r="A160" t="s">
        <v>490</v>
      </c>
      <c r="B160" t="str" cm="1">
        <f t="array" ref="B160">SLOOKUP(A160,H:H,H:H,0.6,0)</f>
        <v>Wealthfront</v>
      </c>
      <c r="C160" s="3" cm="1">
        <f t="array" ref="C160">IF(B160&lt;&gt;"",SimpleSim(A160,B160),"")</f>
        <v>0.7407407407407407</v>
      </c>
      <c r="D160" s="3"/>
      <c r="E160" t="str" cm="1">
        <f t="array" ref="E160">LLOOKUP(A160,H:H,H:H,0.6,0)</f>
        <v>Wealthfront</v>
      </c>
      <c r="F160" s="3" cm="1">
        <f t="array" ref="F160">IF(E160&lt;&gt;"",LevenshteinSimilarity(A160,E160),"")</f>
        <v>0.73333333333333328</v>
      </c>
      <c r="H160" t="s">
        <v>173</v>
      </c>
      <c r="I160">
        <v>94025</v>
      </c>
    </row>
    <row r="161" spans="1:9">
      <c r="A161" t="s">
        <v>493</v>
      </c>
      <c r="B161" t="str" cm="1">
        <f t="array" ref="B161">SLOOKUP(A161,H:H,H:H,0.6,0)</f>
        <v>WhatsApp</v>
      </c>
      <c r="C161" s="3" cm="1">
        <f t="array" ref="C161">IF(B161&lt;&gt;"",SimpleSim(A161,B161),"")</f>
        <v>0.66666666666666663</v>
      </c>
      <c r="D161" s="3"/>
      <c r="E161" t="str" cm="1">
        <f t="array" ref="E161">LLOOKUP(A161,H:H,H:H,0.6,0)</f>
        <v>WhatsApp</v>
      </c>
      <c r="F161" s="3" cm="1">
        <f t="array" ref="F161">IF(E161&lt;&gt;"",LevenshteinSimilarity(A161,E161),"")</f>
        <v>0.66666666666666663</v>
      </c>
      <c r="H161" t="s">
        <v>174</v>
      </c>
      <c r="I161">
        <v>95110</v>
      </c>
    </row>
    <row r="162" spans="1:9">
      <c r="A162" t="s">
        <v>494</v>
      </c>
      <c r="B162" t="str" cm="1">
        <f t="array" ref="B162">SLOOKUP(A162,H:H,H:H,0.6,0)</f>
        <v>Wiser Solutions</v>
      </c>
      <c r="C162" s="3" cm="1">
        <f t="array" ref="C162">IF(B162&lt;&gt;"",SimpleSim(A162,B162),"")</f>
        <v>0.68055555555555558</v>
      </c>
      <c r="D162" s="3"/>
      <c r="E162" t="str" cm="1">
        <f t="array" ref="E162">LLOOKUP(A162,H:H,H:H,0.6,0)</f>
        <v/>
      </c>
      <c r="F162" s="3" t="str" cm="1">
        <f t="array" ref="F162">IF(E162&lt;&gt;"",LevenshteinSimilarity(A162,E162),"")</f>
        <v/>
      </c>
      <c r="H162" t="s">
        <v>175</v>
      </c>
      <c r="I162">
        <v>95112</v>
      </c>
    </row>
    <row r="163" spans="1:9">
      <c r="A163" t="s">
        <v>496</v>
      </c>
      <c r="B163" t="str" cm="1">
        <f t="array" ref="B163">SLOOKUP(A163,H:H,H:H,0.6,0)</f>
        <v>WorkBoard</v>
      </c>
      <c r="C163" s="3" cm="1">
        <f t="array" ref="C163">IF(B163&lt;&gt;"",SimpleSim(A163,B163),"")</f>
        <v>0.73076923076923073</v>
      </c>
      <c r="D163" s="3"/>
      <c r="E163" t="str" cm="1">
        <f t="array" ref="E163">LLOOKUP(A163,H:H,H:H,0.6,0)</f>
        <v>WorkBoard</v>
      </c>
      <c r="F163" s="3" cm="1">
        <f t="array" ref="F163">IF(E163&lt;&gt;"",LevenshteinSimilarity(A163,E163),"")</f>
        <v>0.69230769230769229</v>
      </c>
      <c r="H163" t="s">
        <v>176</v>
      </c>
      <c r="I163">
        <v>94025</v>
      </c>
    </row>
    <row r="164" spans="1:9">
      <c r="A164" t="s">
        <v>281</v>
      </c>
      <c r="B164" t="str" cm="1">
        <f t="array" ref="B164">SLOOKUP(A164,H:H,H:H,0.6,0)</f>
        <v/>
      </c>
      <c r="C164" s="3" t="str" cm="1">
        <f t="array" ref="C164">IF(B164&lt;&gt;"",SimpleSim(A164,B164),"")</f>
        <v/>
      </c>
      <c r="D164" s="3"/>
      <c r="E164" t="str" cm="1">
        <f t="array" ref="E164">LLOOKUP(A164,H:H,H:H,0.6,0)</f>
        <v/>
      </c>
      <c r="F164" s="3" t="str" cm="1">
        <f t="array" ref="F164">IF(E164&lt;&gt;"",LevenshteinSimilarity(A164,E164),"")</f>
        <v/>
      </c>
      <c r="H164" t="s">
        <v>177</v>
      </c>
      <c r="I164">
        <v>94085</v>
      </c>
    </row>
    <row r="165" spans="1:9">
      <c r="A165" t="s">
        <v>283</v>
      </c>
      <c r="B165" t="str" cm="1">
        <f t="array" ref="B165">SLOOKUP(A165,H:H,H:H,0.6,0)</f>
        <v/>
      </c>
      <c r="C165" s="3" t="str" cm="1">
        <f t="array" ref="C165">IF(B165&lt;&gt;"",SimpleSim(A165,B165),"")</f>
        <v/>
      </c>
      <c r="D165" s="3"/>
      <c r="E165" t="str" cm="1">
        <f t="array" ref="E165">LLOOKUP(A165,H:H,H:H,0.6,0)</f>
        <v/>
      </c>
      <c r="F165" s="3" t="str" cm="1">
        <f t="array" ref="F165">IF(E165&lt;&gt;"",LevenshteinSimilarity(A165,E165),"")</f>
        <v/>
      </c>
      <c r="H165" t="s">
        <v>178</v>
      </c>
      <c r="I165">
        <v>94043</v>
      </c>
    </row>
    <row r="166" spans="1:9">
      <c r="A166" t="s">
        <v>284</v>
      </c>
      <c r="B166" t="str" cm="1">
        <f t="array" ref="B166">SLOOKUP(A166,H:H,H:H,0.6,0)</f>
        <v/>
      </c>
      <c r="C166" s="3" t="str" cm="1">
        <f t="array" ref="C166">IF(B166&lt;&gt;"",SimpleSim(A166,B166),"")</f>
        <v/>
      </c>
      <c r="D166" s="3"/>
      <c r="E166" t="str" cm="1">
        <f t="array" ref="E166">LLOOKUP(A166,H:H,H:H,0.6,0)</f>
        <v/>
      </c>
      <c r="F166" s="3" t="str" cm="1">
        <f t="array" ref="F166">IF(E166&lt;&gt;"",LevenshteinSimilarity(A166,E166),"")</f>
        <v/>
      </c>
      <c r="H166" t="s">
        <v>179</v>
      </c>
      <c r="I166">
        <v>95112</v>
      </c>
    </row>
    <row r="167" spans="1:9">
      <c r="A167" t="s">
        <v>287</v>
      </c>
      <c r="B167" t="str" cm="1">
        <f t="array" ref="B167">SLOOKUP(A167,H:H,H:H,0.6,0)</f>
        <v/>
      </c>
      <c r="C167" s="3" t="str" cm="1">
        <f t="array" ref="C167">IF(B167&lt;&gt;"",SimpleSim(A167,B167),"")</f>
        <v/>
      </c>
      <c r="D167" s="3"/>
      <c r="E167" t="str" cm="1">
        <f t="array" ref="E167">LLOOKUP(A167,H:H,H:H,0.6,0)</f>
        <v/>
      </c>
      <c r="F167" s="3" t="str" cm="1">
        <f t="array" ref="F167">IF(E167&lt;&gt;"",LevenshteinSimilarity(A167,E167),"")</f>
        <v/>
      </c>
      <c r="H167" t="s">
        <v>180</v>
      </c>
      <c r="I167">
        <v>95050</v>
      </c>
    </row>
    <row r="168" spans="1:9">
      <c r="A168" t="s">
        <v>290</v>
      </c>
      <c r="B168" t="str" cm="1">
        <f t="array" ref="B168">SLOOKUP(A168,H:H,H:H,0.6,0)</f>
        <v/>
      </c>
      <c r="C168" s="3" t="str" cm="1">
        <f t="array" ref="C168">IF(B168&lt;&gt;"",SimpleSim(A168,B168),"")</f>
        <v/>
      </c>
      <c r="D168" s="3"/>
      <c r="E168" t="str" cm="1">
        <f t="array" ref="E168">LLOOKUP(A168,H:H,H:H,0.6,0)</f>
        <v/>
      </c>
      <c r="F168" s="3" t="str" cm="1">
        <f t="array" ref="F168">IF(E168&lt;&gt;"",LevenshteinSimilarity(A168,E168),"")</f>
        <v/>
      </c>
      <c r="H168" t="s">
        <v>181</v>
      </c>
      <c r="I168">
        <v>94402</v>
      </c>
    </row>
    <row r="169" spans="1:9">
      <c r="A169" t="s">
        <v>291</v>
      </c>
      <c r="B169" t="str" cm="1">
        <f t="array" ref="B169">SLOOKUP(A169,H:H,H:H,0.6,0)</f>
        <v/>
      </c>
      <c r="C169" s="3" t="str" cm="1">
        <f t="array" ref="C169">IF(B169&lt;&gt;"",SimpleSim(A169,B169),"")</f>
        <v/>
      </c>
      <c r="D169" s="3"/>
      <c r="E169" t="str" cm="1">
        <f t="array" ref="E169">LLOOKUP(A169,H:H,H:H,0.6,0)</f>
        <v/>
      </c>
      <c r="F169" s="3" t="str" cm="1">
        <f t="array" ref="F169">IF(E169&lt;&gt;"",LevenshteinSimilarity(A169,E169),"")</f>
        <v/>
      </c>
      <c r="H169" t="s">
        <v>182</v>
      </c>
      <c r="I169">
        <v>94025</v>
      </c>
    </row>
    <row r="170" spans="1:9">
      <c r="A170" t="s">
        <v>294</v>
      </c>
      <c r="B170" t="str" cm="1">
        <f t="array" ref="B170">SLOOKUP(A170,H:H,H:H,0.6,0)</f>
        <v/>
      </c>
      <c r="C170" s="3" t="str" cm="1">
        <f t="array" ref="C170">IF(B170&lt;&gt;"",SimpleSim(A170,B170),"")</f>
        <v/>
      </c>
      <c r="D170" s="3"/>
      <c r="E170" t="str" cm="1">
        <f t="array" ref="E170">LLOOKUP(A170,H:H,H:H,0.6,0)</f>
        <v/>
      </c>
      <c r="F170" s="3" t="str" cm="1">
        <f t="array" ref="F170">IF(E170&lt;&gt;"",LevenshteinSimilarity(A170,E170),"")</f>
        <v/>
      </c>
      <c r="H170" t="s">
        <v>183</v>
      </c>
      <c r="I170">
        <v>94065</v>
      </c>
    </row>
    <row r="171" spans="1:9">
      <c r="A171" t="s">
        <v>297</v>
      </c>
      <c r="B171" t="str" cm="1">
        <f t="array" ref="B171">SLOOKUP(A171,H:H,H:H,0.6,0)</f>
        <v/>
      </c>
      <c r="C171" s="3" t="str" cm="1">
        <f t="array" ref="C171">IF(B171&lt;&gt;"",SimpleSim(A171,B171),"")</f>
        <v/>
      </c>
      <c r="D171" s="3"/>
      <c r="E171" t="str" cm="1">
        <f t="array" ref="E171">LLOOKUP(A171,H:H,H:H,0.6,0)</f>
        <v/>
      </c>
      <c r="F171" s="3" t="str" cm="1">
        <f t="array" ref="F171">IF(E171&lt;&gt;"",LevenshteinSimilarity(A171,E171),"")</f>
        <v/>
      </c>
      <c r="H171" t="s">
        <v>184</v>
      </c>
      <c r="I171">
        <v>94022</v>
      </c>
    </row>
    <row r="172" spans="1:9">
      <c r="A172" t="s">
        <v>299</v>
      </c>
      <c r="B172" t="str" cm="1">
        <f t="array" ref="B172">SLOOKUP(A172,H:H,H:H,0.6,0)</f>
        <v/>
      </c>
      <c r="C172" s="3" t="str" cm="1">
        <f t="array" ref="C172">IF(B172&lt;&gt;"",SimpleSim(A172,B172),"")</f>
        <v/>
      </c>
      <c r="D172" s="3"/>
      <c r="E172" t="str" cm="1">
        <f t="array" ref="E172">LLOOKUP(A172,H:H,H:H,0.6,0)</f>
        <v/>
      </c>
      <c r="F172" s="3" t="str" cm="1">
        <f t="array" ref="F172">IF(E172&lt;&gt;"",LevenshteinSimilarity(A172,E172),"")</f>
        <v/>
      </c>
      <c r="H172" t="s">
        <v>185</v>
      </c>
      <c r="I172">
        <v>94301</v>
      </c>
    </row>
    <row r="173" spans="1:9">
      <c r="A173" t="s">
        <v>302</v>
      </c>
      <c r="B173" t="str" cm="1">
        <f t="array" ref="B173">SLOOKUP(A173,H:H,H:H,0.6,0)</f>
        <v/>
      </c>
      <c r="C173" s="3" t="str" cm="1">
        <f t="array" ref="C173">IF(B173&lt;&gt;"",SimpleSim(A173,B173),"")</f>
        <v/>
      </c>
      <c r="D173" s="3"/>
      <c r="E173" t="str" cm="1">
        <f t="array" ref="E173">LLOOKUP(A173,H:H,H:H,0.6,0)</f>
        <v/>
      </c>
      <c r="F173" s="3" t="str" cm="1">
        <f t="array" ref="F173">IF(E173&lt;&gt;"",LevenshteinSimilarity(A173,E173),"")</f>
        <v/>
      </c>
      <c r="H173" t="s">
        <v>186</v>
      </c>
      <c r="I173">
        <v>94303</v>
      </c>
    </row>
    <row r="174" spans="1:9">
      <c r="A174" t="s">
        <v>306</v>
      </c>
      <c r="B174" t="str" cm="1">
        <f t="array" ref="B174">SLOOKUP(A174,H:H,H:H,0.6,0)</f>
        <v/>
      </c>
      <c r="C174" s="3" t="str" cm="1">
        <f t="array" ref="C174">IF(B174&lt;&gt;"",SimpleSim(A174,B174),"")</f>
        <v/>
      </c>
      <c r="D174" s="3"/>
      <c r="E174" t="str" cm="1">
        <f t="array" ref="E174">LLOOKUP(A174,H:H,H:H,0.6,0)</f>
        <v/>
      </c>
      <c r="F174" s="3" t="str" cm="1">
        <f t="array" ref="F174">IF(E174&lt;&gt;"",LevenshteinSimilarity(A174,E174),"")</f>
        <v/>
      </c>
      <c r="H174" t="s">
        <v>187</v>
      </c>
      <c r="I174">
        <v>95131</v>
      </c>
    </row>
    <row r="175" spans="1:9">
      <c r="A175" t="s">
        <v>305</v>
      </c>
      <c r="B175" t="str" cm="1">
        <f t="array" ref="B175">SLOOKUP(A175,H:H,H:H,0.6,0)</f>
        <v>Blue River Technology</v>
      </c>
      <c r="C175" s="3" cm="1">
        <f t="array" ref="C175">IF(B175&lt;&gt;"",SimpleSim(A175,B175),"")</f>
        <v>0.6709876543209875</v>
      </c>
      <c r="D175" s="3"/>
      <c r="E175" t="str" cm="1">
        <f t="array" ref="E175">LLOOKUP(A175,H:H,H:H,0.6,0)</f>
        <v>Blue River Technology</v>
      </c>
      <c r="F175" s="3" cm="1">
        <f t="array" ref="F175">IF(E175&lt;&gt;"",LevenshteinSimilarity(A175,E175),"")</f>
        <v>0.62962962962962965</v>
      </c>
      <c r="H175" t="s">
        <v>188</v>
      </c>
      <c r="I175">
        <v>94065</v>
      </c>
    </row>
    <row r="176" spans="1:9">
      <c r="A176" t="s">
        <v>310</v>
      </c>
      <c r="B176" t="str" cm="1">
        <f t="array" ref="B176">SLOOKUP(A176,H:H,H:H,0.6,0)</f>
        <v/>
      </c>
      <c r="C176" s="3" t="str" cm="1">
        <f t="array" ref="C176">IF(B176&lt;&gt;"",SimpleSim(A176,B176),"")</f>
        <v/>
      </c>
      <c r="D176" s="3"/>
      <c r="E176" t="str" cm="1">
        <f t="array" ref="E176">LLOOKUP(A176,H:H,H:H,0.6,0)</f>
        <v/>
      </c>
      <c r="F176" s="3" t="str" cm="1">
        <f t="array" ref="F176">IF(E176&lt;&gt;"",LevenshteinSimilarity(A176,E176),"")</f>
        <v/>
      </c>
      <c r="H176" t="s">
        <v>189</v>
      </c>
      <c r="I176">
        <v>94065</v>
      </c>
    </row>
    <row r="177" spans="1:9">
      <c r="A177" t="s">
        <v>311</v>
      </c>
      <c r="B177" t="str" cm="1">
        <f t="array" ref="B177">SLOOKUP(A177,H:H,H:H,0.6,0)</f>
        <v>Broadcom</v>
      </c>
      <c r="C177" s="3" cm="1">
        <f t="array" ref="C177">IF(B177&lt;&gt;"",SimpleSim(A177,B177),"")</f>
        <v>0.63541666666666663</v>
      </c>
      <c r="D177" s="3"/>
      <c r="E177" t="str" cm="1">
        <f t="array" ref="E177">LLOOKUP(A177,H:H,H:H,0.6,0)</f>
        <v/>
      </c>
      <c r="F177" s="3" t="str" cm="1">
        <f t="array" ref="F177">IF(E177&lt;&gt;"",LevenshteinSimilarity(A177,E177),"")</f>
        <v/>
      </c>
      <c r="H177" t="s">
        <v>190</v>
      </c>
      <c r="I177">
        <v>94089</v>
      </c>
    </row>
    <row r="178" spans="1:9">
      <c r="A178" t="s">
        <v>313</v>
      </c>
      <c r="B178" t="str" cm="1">
        <f t="array" ref="B178">SLOOKUP(A178,H:H,H:H,0.6,0)</f>
        <v/>
      </c>
      <c r="C178" s="3" t="str" cm="1">
        <f t="array" ref="C178">IF(B178&lt;&gt;"",SimpleSim(A178,B178),"")</f>
        <v/>
      </c>
      <c r="D178" s="3"/>
      <c r="E178" t="str" cm="1">
        <f t="array" ref="E178">LLOOKUP(A178,H:H,H:H,0.6,0)</f>
        <v/>
      </c>
      <c r="F178" s="3" t="str" cm="1">
        <f t="array" ref="F178">IF(E178&lt;&gt;"",LevenshteinSimilarity(A178,E178),"")</f>
        <v/>
      </c>
      <c r="H178" t="s">
        <v>191</v>
      </c>
      <c r="I178">
        <v>94065</v>
      </c>
    </row>
    <row r="179" spans="1:9">
      <c r="A179" t="s">
        <v>316</v>
      </c>
      <c r="B179" t="str" cm="1">
        <f t="array" ref="B179">SLOOKUP(A179,H:H,H:H,0.6,0)</f>
        <v/>
      </c>
      <c r="C179" s="3" t="str" cm="1">
        <f t="array" ref="C179">IF(B179&lt;&gt;"",SimpleSim(A179,B179),"")</f>
        <v/>
      </c>
      <c r="D179" s="3"/>
      <c r="E179" t="str" cm="1">
        <f t="array" ref="E179">LLOOKUP(A179,H:H,H:H,0.6,0)</f>
        <v/>
      </c>
      <c r="F179" s="3" t="str" cm="1">
        <f t="array" ref="F179">IF(E179&lt;&gt;"",LevenshteinSimilarity(A179,E179),"")</f>
        <v/>
      </c>
      <c r="H179" t="s">
        <v>192</v>
      </c>
      <c r="I179">
        <v>94404</v>
      </c>
    </row>
    <row r="180" spans="1:9">
      <c r="A180" t="s">
        <v>319</v>
      </c>
      <c r="B180" t="str" cm="1">
        <f t="array" ref="B180">SLOOKUP(A180,H:H,H:H,0.6,0)</f>
        <v/>
      </c>
      <c r="C180" s="3" t="str" cm="1">
        <f t="array" ref="C180">IF(B180&lt;&gt;"",SimpleSim(A180,B180),"")</f>
        <v/>
      </c>
      <c r="D180" s="3"/>
      <c r="E180" t="str" cm="1">
        <f t="array" ref="E180">LLOOKUP(A180,H:H,H:H,0.6,0)</f>
        <v/>
      </c>
      <c r="F180" s="3" t="str" cm="1">
        <f t="array" ref="F180">IF(E180&lt;&gt;"",LevenshteinSimilarity(A180,E180),"")</f>
        <v/>
      </c>
      <c r="H180" t="s">
        <v>193</v>
      </c>
      <c r="I180">
        <v>94041</v>
      </c>
    </row>
    <row r="181" spans="1:9">
      <c r="A181" t="s">
        <v>320</v>
      </c>
      <c r="B181" t="str" cm="1">
        <f t="array" ref="B181">SLOOKUP(A181,H:H,H:H,0.6,0)</f>
        <v>Cloudbees</v>
      </c>
      <c r="C181" s="3" cm="1">
        <f t="array" ref="C181">IF(B181&lt;&gt;"",SimpleSim(A181,B181),"")</f>
        <v>0.61764705882352944</v>
      </c>
      <c r="D181" s="3"/>
      <c r="E181" t="str" cm="1">
        <f t="array" ref="E181">LLOOKUP(A181,H:H,H:H,0.6,0)</f>
        <v/>
      </c>
      <c r="F181" s="3" t="str" cm="1">
        <f t="array" ref="F181">IF(E181&lt;&gt;"",LevenshteinSimilarity(A181,E181),"")</f>
        <v/>
      </c>
      <c r="H181" t="s">
        <v>194</v>
      </c>
      <c r="I181">
        <v>94065</v>
      </c>
    </row>
    <row r="182" spans="1:9">
      <c r="A182" t="s">
        <v>326</v>
      </c>
      <c r="B182" t="str" cm="1">
        <f t="array" ref="B182">SLOOKUP(A182,H:H,H:H,0.6,0)</f>
        <v/>
      </c>
      <c r="C182" s="3" t="str" cm="1">
        <f t="array" ref="C182">IF(B182&lt;&gt;"",SimpleSim(A182,B182),"")</f>
        <v/>
      </c>
      <c r="D182" s="3"/>
      <c r="E182" t="str" cm="1">
        <f t="array" ref="E182">LLOOKUP(A182,H:H,H:H,0.6,0)</f>
        <v/>
      </c>
      <c r="F182" s="3" t="str" cm="1">
        <f t="array" ref="F182">IF(E182&lt;&gt;"",LevenshteinSimilarity(A182,E182),"")</f>
        <v/>
      </c>
      <c r="H182" t="s">
        <v>195</v>
      </c>
      <c r="I182">
        <v>95110</v>
      </c>
    </row>
    <row r="183" spans="1:9">
      <c r="A183" t="s">
        <v>327</v>
      </c>
      <c r="B183" t="str" cm="1">
        <f t="array" ref="B183">SLOOKUP(A183,H:H,H:H,0.6,0)</f>
        <v/>
      </c>
      <c r="C183" s="3" t="str" cm="1">
        <f t="array" ref="C183">IF(B183&lt;&gt;"",SimpleSim(A183,B183),"")</f>
        <v/>
      </c>
      <c r="D183" s="3"/>
      <c r="E183" t="str" cm="1">
        <f t="array" ref="E183">LLOOKUP(A183,H:H,H:H,0.6,0)</f>
        <v/>
      </c>
      <c r="F183" s="3" t="str" cm="1">
        <f t="array" ref="F183">IF(E183&lt;&gt;"",LevenshteinSimilarity(A183,E183),"")</f>
        <v/>
      </c>
      <c r="H183" t="s">
        <v>196</v>
      </c>
      <c r="I183">
        <v>94107</v>
      </c>
    </row>
    <row r="184" spans="1:9">
      <c r="A184" t="s">
        <v>335</v>
      </c>
      <c r="B184" t="str" cm="1">
        <f t="array" ref="B184">SLOOKUP(A184,H:H,H:H,0.6,0)</f>
        <v/>
      </c>
      <c r="C184" s="3" t="str" cm="1">
        <f t="array" ref="C184">IF(B184&lt;&gt;"",SimpleSim(A184,B184),"")</f>
        <v/>
      </c>
      <c r="D184" s="3"/>
      <c r="E184" t="str" cm="1">
        <f t="array" ref="E184">LLOOKUP(A184,H:H,H:H,0.6,0)</f>
        <v/>
      </c>
      <c r="F184" s="3" t="str" cm="1">
        <f t="array" ref="F184">IF(E184&lt;&gt;"",LevenshteinSimilarity(A184,E184),"")</f>
        <v/>
      </c>
      <c r="H184" t="s">
        <v>197</v>
      </c>
      <c r="I184">
        <v>94025</v>
      </c>
    </row>
    <row r="185" spans="1:9">
      <c r="A185" t="s">
        <v>338</v>
      </c>
      <c r="B185" t="str" cm="1">
        <f t="array" ref="B185">SLOOKUP(A185,H:H,H:H,0.6,0)</f>
        <v/>
      </c>
      <c r="C185" s="3" t="str" cm="1">
        <f t="array" ref="C185">IF(B185&lt;&gt;"",SimpleSim(A185,B185),"")</f>
        <v/>
      </c>
      <c r="D185" s="3"/>
      <c r="E185" t="str" cm="1">
        <f t="array" ref="E185">LLOOKUP(A185,H:H,H:H,0.6,0)</f>
        <v/>
      </c>
      <c r="F185" s="3" t="str" cm="1">
        <f t="array" ref="F185">IF(E185&lt;&gt;"",LevenshteinSimilarity(A185,E185),"")</f>
        <v/>
      </c>
      <c r="H185" t="s">
        <v>198</v>
      </c>
      <c r="I185">
        <v>94063</v>
      </c>
    </row>
    <row r="186" spans="1:9">
      <c r="A186" t="s">
        <v>345</v>
      </c>
      <c r="B186" t="str" cm="1">
        <f t="array" ref="B186">SLOOKUP(A186,H:H,H:H,0.6,0)</f>
        <v/>
      </c>
      <c r="C186" s="3" t="str" cm="1">
        <f t="array" ref="C186">IF(B186&lt;&gt;"",SimpleSim(A186,B186),"")</f>
        <v/>
      </c>
      <c r="D186" s="3"/>
      <c r="E186" t="str" cm="1">
        <f t="array" ref="E186">LLOOKUP(A186,H:H,H:H,0.6,0)</f>
        <v/>
      </c>
      <c r="F186" s="3" t="str" cm="1">
        <f t="array" ref="F186">IF(E186&lt;&gt;"",LevenshteinSimilarity(A186,E186),"")</f>
        <v/>
      </c>
      <c r="H186" t="s">
        <v>199</v>
      </c>
      <c r="I186">
        <v>94002</v>
      </c>
    </row>
    <row r="187" spans="1:9">
      <c r="A187" t="s">
        <v>347</v>
      </c>
      <c r="B187" t="str" cm="1">
        <f t="array" ref="B187">SLOOKUP(A187,H:H,H:H,0.6,0)</f>
        <v/>
      </c>
      <c r="C187" s="3" t="str" cm="1">
        <f t="array" ref="C187">IF(B187&lt;&gt;"",SimpleSim(A187,B187),"")</f>
        <v/>
      </c>
      <c r="D187" s="3"/>
      <c r="E187" t="str" cm="1">
        <f t="array" ref="E187">LLOOKUP(A187,H:H,H:H,0.6,0)</f>
        <v/>
      </c>
      <c r="F187" s="3" t="str" cm="1">
        <f t="array" ref="F187">IF(E187&lt;&gt;"",LevenshteinSimilarity(A187,E187),"")</f>
        <v/>
      </c>
      <c r="H187" t="s">
        <v>200</v>
      </c>
      <c r="I187">
        <v>94306</v>
      </c>
    </row>
    <row r="188" spans="1:9">
      <c r="A188" t="s">
        <v>356</v>
      </c>
      <c r="B188" t="str" cm="1">
        <f t="array" ref="B188">SLOOKUP(A188,H:H,H:H,0.6,0)</f>
        <v/>
      </c>
      <c r="C188" s="3" t="str" cm="1">
        <f t="array" ref="C188">IF(B188&lt;&gt;"",SimpleSim(A188,B188),"")</f>
        <v/>
      </c>
      <c r="D188" s="3"/>
      <c r="E188" t="str" cm="1">
        <f t="array" ref="E188">LLOOKUP(A188,H:H,H:H,0.6,0)</f>
        <v/>
      </c>
      <c r="F188" s="3" t="str" cm="1">
        <f t="array" ref="F188">IF(E188&lt;&gt;"",LevenshteinSimilarity(A188,E188),"")</f>
        <v/>
      </c>
      <c r="H188" t="s">
        <v>201</v>
      </c>
      <c r="I188">
        <v>94403</v>
      </c>
    </row>
    <row r="189" spans="1:9">
      <c r="A189" t="s">
        <v>357</v>
      </c>
      <c r="B189" t="str" cm="1">
        <f t="array" ref="B189">SLOOKUP(A189,H:H,H:H,0.6,0)</f>
        <v/>
      </c>
      <c r="C189" s="3" t="str" cm="1">
        <f t="array" ref="C189">IF(B189&lt;&gt;"",SimpleSim(A189,B189),"")</f>
        <v/>
      </c>
      <c r="D189" s="3"/>
      <c r="E189" t="str" cm="1">
        <f t="array" ref="E189">LLOOKUP(A189,H:H,H:H,0.6,0)</f>
        <v>Gong.io</v>
      </c>
      <c r="F189" s="3" cm="1">
        <f t="array" ref="F189">IF(E189&lt;&gt;"",LevenshteinSimilarity(A189,E189),"")</f>
        <v>0.63636363636363635</v>
      </c>
      <c r="H189" t="s">
        <v>202</v>
      </c>
      <c r="I189">
        <v>95032</v>
      </c>
    </row>
    <row r="190" spans="1:9">
      <c r="A190" t="s">
        <v>360</v>
      </c>
      <c r="B190" t="str" cm="1">
        <f t="array" ref="B190">SLOOKUP(A190,H:H,H:H,0.6,0)</f>
        <v/>
      </c>
      <c r="C190" s="3" t="str" cm="1">
        <f t="array" ref="C190">IF(B190&lt;&gt;"",SimpleSim(A190,B190),"")</f>
        <v/>
      </c>
      <c r="D190" s="3"/>
      <c r="E190" t="str" cm="1">
        <f t="array" ref="E190">LLOOKUP(A190,H:H,H:H,0.6,0)</f>
        <v/>
      </c>
      <c r="F190" s="3" t="str" cm="1">
        <f t="array" ref="F190">IF(E190&lt;&gt;"",LevenshteinSimilarity(A190,E190),"")</f>
        <v/>
      </c>
      <c r="H190" t="s">
        <v>203</v>
      </c>
      <c r="I190">
        <v>95035</v>
      </c>
    </row>
    <row r="191" spans="1:9">
      <c r="A191" t="s">
        <v>364</v>
      </c>
      <c r="B191" t="str" cm="1">
        <f t="array" ref="B191">SLOOKUP(A191,H:H,H:H,0.6,0)</f>
        <v/>
      </c>
      <c r="C191" s="3" t="str" cm="1">
        <f t="array" ref="C191">IF(B191&lt;&gt;"",SimpleSim(A191,B191),"")</f>
        <v/>
      </c>
      <c r="D191" s="3"/>
      <c r="E191" t="str" cm="1">
        <f t="array" ref="E191">LLOOKUP(A191,H:H,H:H,0.6,0)</f>
        <v/>
      </c>
      <c r="F191" s="3" t="str" cm="1">
        <f t="array" ref="F191">IF(E191&lt;&gt;"",LevenshteinSimilarity(A191,E191),"")</f>
        <v/>
      </c>
      <c r="H191" t="s">
        <v>204</v>
      </c>
      <c r="I191">
        <v>94304</v>
      </c>
    </row>
    <row r="192" spans="1:9">
      <c r="A192" t="s">
        <v>365</v>
      </c>
      <c r="B192" t="str" cm="1">
        <f t="array" ref="B192">SLOOKUP(A192,H:H,H:H,0.6,0)</f>
        <v/>
      </c>
      <c r="C192" s="3" t="str" cm="1">
        <f t="array" ref="C192">IF(B192&lt;&gt;"",SimpleSim(A192,B192),"")</f>
        <v/>
      </c>
      <c r="D192" s="3"/>
      <c r="E192" t="str" cm="1">
        <f t="array" ref="E192">LLOOKUP(A192,H:H,H:H,0.6,0)</f>
        <v/>
      </c>
      <c r="F192" s="3" t="str" cm="1">
        <f t="array" ref="F192">IF(E192&lt;&gt;"",LevenshteinSimilarity(A192,E192),"")</f>
        <v/>
      </c>
      <c r="H192" t="s">
        <v>205</v>
      </c>
      <c r="I192">
        <v>94401</v>
      </c>
    </row>
    <row r="193" spans="1:9">
      <c r="A193" t="s">
        <v>372</v>
      </c>
      <c r="B193" t="str" cm="1">
        <f t="array" ref="B193">SLOOKUP(A193,H:H,H:H,0.6,0)</f>
        <v/>
      </c>
      <c r="C193" s="3" t="str" cm="1">
        <f t="array" ref="C193">IF(B193&lt;&gt;"",SimpleSim(A193,B193),"")</f>
        <v/>
      </c>
      <c r="D193" s="3"/>
      <c r="E193" t="str" cm="1">
        <f t="array" ref="E193">LLOOKUP(A193,H:H,H:H,0.6,0)</f>
        <v/>
      </c>
      <c r="F193" s="3" t="str" cm="1">
        <f t="array" ref="F193">IF(E193&lt;&gt;"",LevenshteinSimilarity(A193,E193),"")</f>
        <v/>
      </c>
      <c r="H193" t="s">
        <v>206</v>
      </c>
      <c r="I193">
        <v>95014</v>
      </c>
    </row>
    <row r="194" spans="1:9">
      <c r="A194" t="s">
        <v>383</v>
      </c>
      <c r="B194" t="str" cm="1">
        <f t="array" ref="B194">SLOOKUP(A194,H:H,H:H,0.6,0)</f>
        <v/>
      </c>
      <c r="C194" s="3" t="str" cm="1">
        <f t="array" ref="C194">IF(B194&lt;&gt;"",SimpleSim(A194,B194),"")</f>
        <v/>
      </c>
      <c r="D194" s="3"/>
      <c r="E194" t="str" cm="1">
        <f t="array" ref="E194">LLOOKUP(A194,H:H,H:H,0.6,0)</f>
        <v/>
      </c>
      <c r="F194" s="3" t="str" cm="1">
        <f t="array" ref="F194">IF(E194&lt;&gt;"",LevenshteinSimilarity(A194,E194),"")</f>
        <v/>
      </c>
      <c r="H194" t="s">
        <v>207</v>
      </c>
      <c r="I194">
        <v>95113</v>
      </c>
    </row>
    <row r="195" spans="1:9">
      <c r="A195" t="s">
        <v>388</v>
      </c>
      <c r="B195" t="str" cm="1">
        <f t="array" ref="B195">SLOOKUP(A195,H:H,H:H,0.6,0)</f>
        <v/>
      </c>
      <c r="C195" s="3" t="str" cm="1">
        <f t="array" ref="C195">IF(B195&lt;&gt;"",SimpleSim(A195,B195),"")</f>
        <v/>
      </c>
      <c r="D195" s="3"/>
      <c r="E195" t="str" cm="1">
        <f t="array" ref="E195">LLOOKUP(A195,H:H,H:H,0.6,0)</f>
        <v/>
      </c>
      <c r="F195" s="3" t="str" cm="1">
        <f t="array" ref="F195">IF(E195&lt;&gt;"",LevenshteinSimilarity(A195,E195),"")</f>
        <v/>
      </c>
      <c r="H195" t="s">
        <v>208</v>
      </c>
      <c r="I195">
        <v>94401</v>
      </c>
    </row>
    <row r="196" spans="1:9">
      <c r="A196" t="s">
        <v>389</v>
      </c>
      <c r="B196" t="str" cm="1">
        <f t="array" ref="B196">SLOOKUP(A196,H:H,H:H,0.6,0)</f>
        <v/>
      </c>
      <c r="C196" s="3" t="str" cm="1">
        <f t="array" ref="C196">IF(B196&lt;&gt;"",SimpleSim(A196,B196),"")</f>
        <v/>
      </c>
      <c r="D196" s="3"/>
      <c r="E196" t="str" cm="1">
        <f t="array" ref="E196">LLOOKUP(A196,H:H,H:H,0.6,0)</f>
        <v/>
      </c>
      <c r="F196" s="3" t="str" cm="1">
        <f t="array" ref="F196">IF(E196&lt;&gt;"",LevenshteinSimilarity(A196,E196),"")</f>
        <v/>
      </c>
      <c r="H196" t="s">
        <v>209</v>
      </c>
      <c r="I196">
        <v>94063</v>
      </c>
    </row>
    <row r="197" spans="1:9">
      <c r="A197" t="s">
        <v>405</v>
      </c>
      <c r="B197" t="str" cm="1">
        <f t="array" ref="B197">SLOOKUP(A197,H:H,H:H,0.6,0)</f>
        <v/>
      </c>
      <c r="C197" s="3" t="str" cm="1">
        <f t="array" ref="C197">IF(B197&lt;&gt;"",SimpleSim(A197,B197),"")</f>
        <v/>
      </c>
      <c r="D197" s="3"/>
      <c r="E197" t="str" cm="1">
        <f t="array" ref="E197">LLOOKUP(A197,H:H,H:H,0.6,0)</f>
        <v/>
      </c>
      <c r="F197" s="3" t="str" cm="1">
        <f t="array" ref="F197">IF(E197&lt;&gt;"",LevenshteinSimilarity(A197,E197),"")</f>
        <v/>
      </c>
      <c r="H197" t="s">
        <v>210</v>
      </c>
      <c r="I197">
        <v>94043</v>
      </c>
    </row>
    <row r="198" spans="1:9">
      <c r="A198" t="s">
        <v>407</v>
      </c>
      <c r="B198" t="str" cm="1">
        <f t="array" ref="B198">SLOOKUP(A198,H:H,H:H,0.6,0)</f>
        <v/>
      </c>
      <c r="C198" s="3" t="str" cm="1">
        <f t="array" ref="C198">IF(B198&lt;&gt;"",SimpleSim(A198,B198),"")</f>
        <v/>
      </c>
      <c r="D198" s="3"/>
      <c r="E198" t="str" cm="1">
        <f t="array" ref="E198">LLOOKUP(A198,H:H,H:H,0.6,0)</f>
        <v/>
      </c>
      <c r="F198" s="3" t="str" cm="1">
        <f t="array" ref="F198">IF(E198&lt;&gt;"",LevenshteinSimilarity(A198,E198),"")</f>
        <v/>
      </c>
      <c r="H198" t="s">
        <v>211</v>
      </c>
      <c r="I198">
        <v>94025</v>
      </c>
    </row>
    <row r="199" spans="1:9">
      <c r="A199" t="s">
        <v>413</v>
      </c>
      <c r="B199" t="str" cm="1">
        <f t="array" ref="B199">SLOOKUP(A199,H:H,H:H,0.6,0)</f>
        <v>Mountain View Staffing</v>
      </c>
      <c r="C199" s="3" cm="1">
        <f t="array" ref="C199">IF(B199&lt;&gt;"",SimpleSim(A199,B199),"")</f>
        <v>0.71978021978021978</v>
      </c>
      <c r="D199" s="3"/>
      <c r="E199" t="str" cm="1">
        <f t="array" ref="E199">LLOOKUP(A199,H:H,H:H,0.6,0)</f>
        <v>Mountain View Staffing</v>
      </c>
      <c r="F199" s="3" cm="1">
        <f t="array" ref="F199">IF(E199&lt;&gt;"",LevenshteinSimilarity(A199,E199),"")</f>
        <v>0.6428571428571429</v>
      </c>
      <c r="H199" t="s">
        <v>212</v>
      </c>
      <c r="I199">
        <v>94025</v>
      </c>
    </row>
    <row r="200" spans="1:9">
      <c r="A200" t="s">
        <v>398</v>
      </c>
      <c r="B200" t="str" cm="1">
        <f t="array" ref="B200">SLOOKUP(A200,H:H,H:H,0.6,0)</f>
        <v/>
      </c>
      <c r="C200" s="3" t="str" cm="1">
        <f t="array" ref="C200">IF(B200&lt;&gt;"",SimpleSim(A200,B200),"")</f>
        <v/>
      </c>
      <c r="D200" s="3"/>
      <c r="E200" t="str" cm="1">
        <f t="array" ref="E200">LLOOKUP(A200,H:H,H:H,0.6,0)</f>
        <v/>
      </c>
      <c r="F200" s="3" t="str" cm="1">
        <f t="array" ref="F200">IF(E200&lt;&gt;"",LevenshteinSimilarity(A200,E200),"")</f>
        <v/>
      </c>
      <c r="H200" t="s">
        <v>213</v>
      </c>
      <c r="I200">
        <v>94063</v>
      </c>
    </row>
    <row r="201" spans="1:9">
      <c r="A201" t="s">
        <v>418</v>
      </c>
      <c r="B201" t="str" cm="1">
        <f t="array" ref="B201">SLOOKUP(A201,H:H,H:H,0.6,0)</f>
        <v/>
      </c>
      <c r="C201" s="3" t="str" cm="1">
        <f t="array" ref="C201">IF(B201&lt;&gt;"",SimpleSim(A201,B201),"")</f>
        <v/>
      </c>
      <c r="D201" s="3"/>
      <c r="E201" t="str" cm="1">
        <f t="array" ref="E201">LLOOKUP(A201,H:H,H:H,0.6,0)</f>
        <v/>
      </c>
      <c r="F201" s="3" t="str" cm="1">
        <f t="array" ref="F201">IF(E201&lt;&gt;"",LevenshteinSimilarity(A201,E201),"")</f>
        <v/>
      </c>
      <c r="H201" t="s">
        <v>214</v>
      </c>
      <c r="I201">
        <v>94065</v>
      </c>
    </row>
    <row r="202" spans="1:9">
      <c r="A202" t="s">
        <v>419</v>
      </c>
      <c r="B202" t="str" cm="1">
        <f t="array" ref="B202">SLOOKUP(A202,H:H,H:H,0.6,0)</f>
        <v>Nuance Communications</v>
      </c>
      <c r="C202" s="3" cm="1">
        <f t="array" ref="C202">IF(B202&lt;&gt;"",SimpleSim(A202,B202),"")</f>
        <v>0.61377551020408172</v>
      </c>
      <c r="D202" s="3"/>
      <c r="E202" t="str" cm="1">
        <f t="array" ref="E202">LLOOKUP(A202,H:H,H:H,0.6,0)</f>
        <v/>
      </c>
      <c r="F202" s="3" t="str" cm="1">
        <f t="array" ref="F202">IF(E202&lt;&gt;"",LevenshteinSimilarity(A202,E202),"")</f>
        <v/>
      </c>
      <c r="H202" t="s">
        <v>215</v>
      </c>
      <c r="I202">
        <v>94063</v>
      </c>
    </row>
    <row r="203" spans="1:9">
      <c r="A203" t="s">
        <v>424</v>
      </c>
      <c r="B203" t="str" cm="1">
        <f t="array" ref="B203">SLOOKUP(A203,H:H,H:H,0.6,0)</f>
        <v/>
      </c>
      <c r="C203" s="3" t="str" cm="1">
        <f t="array" ref="C203">IF(B203&lt;&gt;"",SimpleSim(A203,B203),"")</f>
        <v/>
      </c>
      <c r="D203" s="3"/>
      <c r="E203" t="str" cm="1">
        <f t="array" ref="E203">LLOOKUP(A203,H:H,H:H,0.6,0)</f>
        <v/>
      </c>
      <c r="F203" s="3" t="str" cm="1">
        <f t="array" ref="F203">IF(E203&lt;&gt;"",LevenshteinSimilarity(A203,E203),"")</f>
        <v/>
      </c>
      <c r="H203" t="s">
        <v>216</v>
      </c>
      <c r="I203">
        <v>94025</v>
      </c>
    </row>
    <row r="204" spans="1:9">
      <c r="A204" t="s">
        <v>427</v>
      </c>
      <c r="B204" t="str" cm="1">
        <f t="array" ref="B204">SLOOKUP(A204,H:H,H:H,0.6,0)</f>
        <v>Palo Alto Staffing</v>
      </c>
      <c r="C204" s="3" cm="1">
        <f t="array" ref="C204">IF(B204&lt;&gt;"",SimpleSim(A204,B204),"")</f>
        <v>0.61319444444444449</v>
      </c>
      <c r="D204" s="3"/>
      <c r="E204" t="str" cm="1">
        <f t="array" ref="E204">LLOOKUP(A204,H:H,H:H,0.6,0)</f>
        <v/>
      </c>
      <c r="F204" s="3" t="str" cm="1">
        <f t="array" ref="F204">IF(E204&lt;&gt;"",LevenshteinSimilarity(A204,E204),"")</f>
        <v/>
      </c>
      <c r="H204" t="s">
        <v>217</v>
      </c>
      <c r="I204">
        <v>94401</v>
      </c>
    </row>
    <row r="205" spans="1:9">
      <c r="A205" t="s">
        <v>428</v>
      </c>
      <c r="B205" t="str" cm="1">
        <f t="array" ref="B205">SLOOKUP(A205,H:H,H:H,0.6,0)</f>
        <v/>
      </c>
      <c r="C205" s="3" t="str" cm="1">
        <f t="array" ref="C205">IF(B205&lt;&gt;"",SimpleSim(A205,B205),"")</f>
        <v/>
      </c>
      <c r="D205" s="3"/>
      <c r="E205" t="str" cm="1">
        <f t="array" ref="E205">LLOOKUP(A205,H:H,H:H,0.6,0)</f>
        <v/>
      </c>
      <c r="F205" s="3" t="str" cm="1">
        <f t="array" ref="F205">IF(E205&lt;&gt;"",LevenshteinSimilarity(A205,E205),"")</f>
        <v/>
      </c>
      <c r="H205" t="s">
        <v>218</v>
      </c>
      <c r="I205">
        <v>94025</v>
      </c>
    </row>
    <row r="206" spans="1:9">
      <c r="A206" t="s">
        <v>432</v>
      </c>
      <c r="B206" t="str" cm="1">
        <f t="array" ref="B206">SLOOKUP(A206,H:H,H:H,0.6,0)</f>
        <v/>
      </c>
      <c r="C206" s="3" t="str" cm="1">
        <f t="array" ref="C206">IF(B206&lt;&gt;"",SimpleSim(A206,B206),"")</f>
        <v/>
      </c>
      <c r="D206" s="3"/>
      <c r="E206" t="str" cm="1">
        <f t="array" ref="E206">LLOOKUP(A206,H:H,H:H,0.6,0)</f>
        <v/>
      </c>
      <c r="F206" s="3" t="str" cm="1">
        <f t="array" ref="F206">IF(E206&lt;&gt;"",LevenshteinSimilarity(A206,E206),"")</f>
        <v/>
      </c>
      <c r="H206" t="s">
        <v>219</v>
      </c>
      <c r="I206">
        <v>94063</v>
      </c>
    </row>
    <row r="207" spans="1:9">
      <c r="A207" t="s">
        <v>436</v>
      </c>
      <c r="B207" t="str" cm="1">
        <f t="array" ref="B207">SLOOKUP(A207,H:H,H:H,0.6,0)</f>
        <v/>
      </c>
      <c r="C207" s="3" t="str" cm="1">
        <f t="array" ref="C207">IF(B207&lt;&gt;"",SimpleSim(A207,B207),"")</f>
        <v/>
      </c>
      <c r="D207" s="3"/>
      <c r="E207" t="str" cm="1">
        <f t="array" ref="E207">LLOOKUP(A207,H:H,H:H,0.6,0)</f>
        <v/>
      </c>
      <c r="F207" s="3" t="str" cm="1">
        <f t="array" ref="F207">IF(E207&lt;&gt;"",LevenshteinSimilarity(A207,E207),"")</f>
        <v/>
      </c>
      <c r="H207" t="s">
        <v>220</v>
      </c>
      <c r="I207">
        <v>94041</v>
      </c>
    </row>
    <row r="208" spans="1:9">
      <c r="A208" t="s">
        <v>437</v>
      </c>
      <c r="B208" t="str" cm="1">
        <f t="array" ref="B208">SLOOKUP(A208,H:H,H:H,0.6,0)</f>
        <v/>
      </c>
      <c r="C208" s="3" t="str" cm="1">
        <f t="array" ref="C208">IF(B208&lt;&gt;"",SimpleSim(A208,B208),"")</f>
        <v/>
      </c>
      <c r="D208" s="3"/>
      <c r="E208" t="str" cm="1">
        <f t="array" ref="E208">LLOOKUP(A208,H:H,H:H,0.6,0)</f>
        <v/>
      </c>
      <c r="F208" s="3" t="str" cm="1">
        <f t="array" ref="F208">IF(E208&lt;&gt;"",LevenshteinSimilarity(A208,E208),"")</f>
        <v/>
      </c>
      <c r="H208" t="s">
        <v>221</v>
      </c>
      <c r="I208">
        <v>94402</v>
      </c>
    </row>
    <row r="209" spans="1:9">
      <c r="A209" t="s">
        <v>438</v>
      </c>
      <c r="B209" t="str" cm="1">
        <f t="array" ref="B209">SLOOKUP(A209,H:H,H:H,0.6,0)</f>
        <v/>
      </c>
      <c r="C209" s="3" t="str" cm="1">
        <f t="array" ref="C209">IF(B209&lt;&gt;"",SimpleSim(A209,B209),"")</f>
        <v/>
      </c>
      <c r="D209" s="3"/>
      <c r="E209" t="str" cm="1">
        <f t="array" ref="E209">LLOOKUP(A209,H:H,H:H,0.6,0)</f>
        <v/>
      </c>
      <c r="F209" s="3" t="str" cm="1">
        <f t="array" ref="F209">IF(E209&lt;&gt;"",LevenshteinSimilarity(A209,E209),"")</f>
        <v/>
      </c>
      <c r="H209" t="s">
        <v>222</v>
      </c>
      <c r="I209">
        <v>94401</v>
      </c>
    </row>
    <row r="210" spans="1:9">
      <c r="A210" t="s">
        <v>460</v>
      </c>
      <c r="B210" t="str" cm="1">
        <f t="array" ref="B210">SLOOKUP(A210,H:H,H:H,0.6,0)</f>
        <v>Social Capital</v>
      </c>
      <c r="C210" s="3" cm="1">
        <f t="array" ref="C210">IF(B210&lt;&gt;"",SimpleSim(A210,B210),"")</f>
        <v>0.61923658352229771</v>
      </c>
      <c r="D210" s="3"/>
      <c r="E210" t="str" cm="1">
        <f t="array" ref="E210">LLOOKUP(A210,H:H,H:H,0.6,0)</f>
        <v/>
      </c>
      <c r="F210" s="3" t="str" cm="1">
        <f t="array" ref="F210">IF(E210&lt;&gt;"",LevenshteinSimilarity(A210,E210),"")</f>
        <v/>
      </c>
      <c r="H210" t="s">
        <v>223</v>
      </c>
      <c r="I210">
        <v>94301</v>
      </c>
    </row>
    <row r="211" spans="1:9">
      <c r="A211" t="s">
        <v>462</v>
      </c>
      <c r="B211" t="str" cm="1">
        <f t="array" ref="B211">SLOOKUP(A211,H:H,H:H,0.6,0)</f>
        <v/>
      </c>
      <c r="C211" s="3" t="str" cm="1">
        <f t="array" ref="C211">IF(B211&lt;&gt;"",SimpleSim(A211,B211),"")</f>
        <v/>
      </c>
      <c r="D211" s="3"/>
      <c r="E211" t="str" cm="1">
        <f t="array" ref="E211">LLOOKUP(A211,H:H,H:H,0.6,0)</f>
        <v/>
      </c>
      <c r="F211" s="3" t="str" cm="1">
        <f t="array" ref="F211">IF(E211&lt;&gt;"",LevenshteinSimilarity(A211,E211),"")</f>
        <v/>
      </c>
      <c r="H211" t="s">
        <v>224</v>
      </c>
      <c r="I211">
        <v>94025</v>
      </c>
    </row>
    <row r="212" spans="1:9">
      <c r="A212" t="s">
        <v>475</v>
      </c>
      <c r="B212" t="str" cm="1">
        <f t="array" ref="B212">SLOOKUP(A212,H:H,H:H,0.6,0)</f>
        <v/>
      </c>
      <c r="C212" s="3" t="str" cm="1">
        <f t="array" ref="C212">IF(B212&lt;&gt;"",SimpleSim(A212,B212),"")</f>
        <v/>
      </c>
      <c r="D212" s="3"/>
      <c r="E212" t="str" cm="1">
        <f t="array" ref="E212">LLOOKUP(A212,H:H,H:H,0.6,0)</f>
        <v/>
      </c>
      <c r="F212" s="3" t="str" cm="1">
        <f t="array" ref="F212">IF(E212&lt;&gt;"",LevenshteinSimilarity(A212,E212),"")</f>
        <v/>
      </c>
      <c r="H212" t="s">
        <v>225</v>
      </c>
      <c r="I212">
        <v>94303</v>
      </c>
    </row>
    <row r="213" spans="1:9">
      <c r="A213" t="s">
        <v>476</v>
      </c>
      <c r="B213" t="str" cm="1">
        <f t="array" ref="B213">SLOOKUP(A213,H:H,H:H,0.6,0)</f>
        <v/>
      </c>
      <c r="C213" s="3" t="str" cm="1">
        <f t="array" ref="C213">IF(B213&lt;&gt;"",SimpleSim(A213,B213),"")</f>
        <v/>
      </c>
      <c r="D213" s="3"/>
      <c r="E213" t="str" cm="1">
        <f t="array" ref="E213">LLOOKUP(A213,H:H,H:H,0.6,0)</f>
        <v/>
      </c>
      <c r="F213" s="3" t="str" cm="1">
        <f t="array" ref="F213">IF(E213&lt;&gt;"",LevenshteinSimilarity(A213,E213),"")</f>
        <v/>
      </c>
      <c r="H213" t="s">
        <v>226</v>
      </c>
      <c r="I213">
        <v>94104</v>
      </c>
    </row>
    <row r="214" spans="1:9">
      <c r="A214" t="s">
        <v>480</v>
      </c>
      <c r="B214" t="str" cm="1">
        <f t="array" ref="B214">SLOOKUP(A214,H:H,H:H,0.6,0)</f>
        <v/>
      </c>
      <c r="C214" s="3" t="str" cm="1">
        <f t="array" ref="C214">IF(B214&lt;&gt;"",SimpleSim(A214,B214),"")</f>
        <v/>
      </c>
      <c r="D214" s="3"/>
      <c r="E214" t="str" cm="1">
        <f t="array" ref="E214">LLOOKUP(A214,H:H,H:H,0.6,0)</f>
        <v/>
      </c>
      <c r="F214" s="3" t="str" cm="1">
        <f t="array" ref="F214">IF(E214&lt;&gt;"",LevenshteinSimilarity(A214,E214),"")</f>
        <v/>
      </c>
      <c r="H214" t="s">
        <v>227</v>
      </c>
      <c r="I214">
        <v>95032</v>
      </c>
    </row>
    <row r="215" spans="1:9">
      <c r="A215" t="s">
        <v>481</v>
      </c>
      <c r="B215" t="str" cm="1">
        <f t="array" ref="B215">SLOOKUP(A215,H:H,H:H,0.6,0)</f>
        <v/>
      </c>
      <c r="C215" s="3" t="str" cm="1">
        <f t="array" ref="C215">IF(B215&lt;&gt;"",SimpleSim(A215,B215),"")</f>
        <v/>
      </c>
      <c r="D215" s="3"/>
      <c r="E215" t="str" cm="1">
        <f t="array" ref="E215">LLOOKUP(A215,H:H,H:H,0.6,0)</f>
        <v/>
      </c>
      <c r="F215" s="3" t="str" cm="1">
        <f t="array" ref="F215">IF(E215&lt;&gt;"",LevenshteinSimilarity(A215,E215),"")</f>
        <v/>
      </c>
      <c r="H215" t="s">
        <v>228</v>
      </c>
      <c r="I215">
        <v>94025</v>
      </c>
    </row>
    <row r="216" spans="1:9">
      <c r="A216" t="s">
        <v>483</v>
      </c>
      <c r="B216" t="str" cm="1">
        <f t="array" ref="B216">SLOOKUP(A216,H:H,H:H,0.6,0)</f>
        <v/>
      </c>
      <c r="C216" s="3" t="str" cm="1">
        <f t="array" ref="C216">IF(B216&lt;&gt;"",SimpleSim(A216,B216),"")</f>
        <v/>
      </c>
      <c r="D216" s="3"/>
      <c r="E216" t="str" cm="1">
        <f t="array" ref="E216">LLOOKUP(A216,H:H,H:H,0.6,0)</f>
        <v/>
      </c>
      <c r="F216" s="3" t="str" cm="1">
        <f t="array" ref="F216">IF(E216&lt;&gt;"",LevenshteinSimilarity(A216,E216),"")</f>
        <v/>
      </c>
      <c r="H216" t="s">
        <v>229</v>
      </c>
      <c r="I216">
        <v>94063</v>
      </c>
    </row>
    <row r="217" spans="1:9">
      <c r="A217" t="s">
        <v>487</v>
      </c>
      <c r="B217" t="str" cm="1">
        <f t="array" ref="B217">SLOOKUP(A217,H:H,H:H,0.6,0)</f>
        <v/>
      </c>
      <c r="C217" s="3" t="str" cm="1">
        <f t="array" ref="C217">IF(B217&lt;&gt;"",SimpleSim(A217,B217),"")</f>
        <v/>
      </c>
      <c r="D217" s="3"/>
      <c r="E217" t="str" cm="1">
        <f t="array" ref="E217">LLOOKUP(A217,H:H,H:H,0.6,0)</f>
        <v/>
      </c>
      <c r="F217" s="3" t="str" cm="1">
        <f t="array" ref="F217">IF(E217&lt;&gt;"",LevenshteinSimilarity(A217,E217),"")</f>
        <v/>
      </c>
      <c r="H217" t="s">
        <v>230</v>
      </c>
      <c r="I217">
        <v>94301</v>
      </c>
    </row>
    <row r="218" spans="1:9">
      <c r="A218" t="s">
        <v>488</v>
      </c>
      <c r="B218" t="str" cm="1">
        <f t="array" ref="B218">SLOOKUP(A218,H:H,H:H,0.6,0)</f>
        <v/>
      </c>
      <c r="C218" s="3" t="str" cm="1">
        <f t="array" ref="C218">IF(B218&lt;&gt;"",SimpleSim(A218,B218),"")</f>
        <v/>
      </c>
      <c r="D218" s="3"/>
      <c r="E218" t="str" cm="1">
        <f t="array" ref="E218">LLOOKUP(A218,H:H,H:H,0.6,0)</f>
        <v/>
      </c>
      <c r="F218" s="3" t="str" cm="1">
        <f t="array" ref="F218">IF(E218&lt;&gt;"",LevenshteinSimilarity(A218,E218),"")</f>
        <v/>
      </c>
      <c r="H218" t="s">
        <v>231</v>
      </c>
      <c r="I218">
        <v>95032</v>
      </c>
    </row>
    <row r="219" spans="1:9">
      <c r="A219" t="s">
        <v>489</v>
      </c>
      <c r="B219" t="str" cm="1">
        <f t="array" ref="B219">SLOOKUP(A219,H:H,H:H,0.6,0)</f>
        <v>Walmart Labs</v>
      </c>
      <c r="C219" s="3" cm="1">
        <f t="array" ref="C219">IF(B219&lt;&gt;"",SimpleSim(A219,B219),"")</f>
        <v>0.64055973266499577</v>
      </c>
      <c r="D219" s="3"/>
      <c r="E219" t="str" cm="1">
        <f t="array" ref="E219">LLOOKUP(A219,H:H,H:H,0.6,0)</f>
        <v/>
      </c>
      <c r="F219" s="3" t="str" cm="1">
        <f t="array" ref="F219">IF(E219&lt;&gt;"",LevenshteinSimilarity(A219,E219),"")</f>
        <v/>
      </c>
      <c r="H219" t="s">
        <v>232</v>
      </c>
      <c r="I219">
        <v>94087</v>
      </c>
    </row>
    <row r="220" spans="1:9">
      <c r="A220" t="s">
        <v>491</v>
      </c>
      <c r="B220" t="str" cm="1">
        <f t="array" ref="B220">SLOOKUP(A220,H:H,H:H,0.6,0)</f>
        <v>WellPay</v>
      </c>
      <c r="C220" s="3" cm="1">
        <f t="array" ref="C220">IF(B220&lt;&gt;"",SimpleSim(A220,B220),"")</f>
        <v>0.60416666666666663</v>
      </c>
      <c r="D220" s="3"/>
      <c r="E220" t="str" cm="1">
        <f t="array" ref="E220">LLOOKUP(A220,H:H,H:H,0.6,0)</f>
        <v/>
      </c>
      <c r="F220" s="3" t="str" cm="1">
        <f t="array" ref="F220">IF(E220&lt;&gt;"",LevenshteinSimilarity(A220,E220),"")</f>
        <v/>
      </c>
      <c r="H220" t="s">
        <v>233</v>
      </c>
      <c r="I220">
        <v>94043</v>
      </c>
    </row>
    <row r="221" spans="1:9">
      <c r="A221" t="s">
        <v>495</v>
      </c>
      <c r="B221" t="str" cm="1">
        <f t="array" ref="B221">SLOOKUP(A221,H:H,H:H,0.6,0)</f>
        <v>Workato</v>
      </c>
      <c r="C221" s="3" cm="1">
        <f t="array" ref="C221">IF(B221&lt;&gt;"",SimpleSim(A221,B221),"")</f>
        <v>0.6333333333333333</v>
      </c>
      <c r="D221" s="3"/>
      <c r="E221" t="str" cm="1">
        <f t="array" ref="E221">LLOOKUP(A221,H:H,H:H,0.6,0)</f>
        <v/>
      </c>
      <c r="F221" s="3" t="str" cm="1">
        <f t="array" ref="F221">IF(E221&lt;&gt;"",LevenshteinSimilarity(A221,E221),"")</f>
        <v/>
      </c>
      <c r="H221" t="s">
        <v>234</v>
      </c>
      <c r="I221">
        <v>94043</v>
      </c>
    </row>
    <row r="222" spans="1:9">
      <c r="A222" t="s">
        <v>502</v>
      </c>
      <c r="B222" t="str" cm="1">
        <f t="array" ref="B222">SLOOKUP(A222,H:H,H:H,0.6,0)</f>
        <v/>
      </c>
      <c r="C222" s="3" t="str" cm="1">
        <f t="array" ref="C222">IF(B222&lt;&gt;"",SimpleSim(A222,B222),"")</f>
        <v/>
      </c>
      <c r="D222" s="3"/>
      <c r="E222" t="str" cm="1">
        <f t="array" ref="E222">LLOOKUP(A222,H:H,H:H,0.6,0)</f>
        <v/>
      </c>
      <c r="F222" s="3" t="str" cm="1">
        <f t="array" ref="F222">IF(E222&lt;&gt;"",LevenshteinSimilarity(A222,E222),"")</f>
        <v/>
      </c>
      <c r="H222" t="s">
        <v>235</v>
      </c>
      <c r="I222">
        <v>94085</v>
      </c>
    </row>
    <row r="223" spans="1:9">
      <c r="A223" t="s">
        <v>497</v>
      </c>
      <c r="B223" t="str" cm="1">
        <f t="array" ref="B223">SLOOKUP(A223,H:H,H:H,0.6,0)</f>
        <v>Xilinx</v>
      </c>
      <c r="C223" s="3" cm="1">
        <f t="array" ref="C223">IF(B223&lt;&gt;"",SimpleSim(A223,B223),"")</f>
        <v>0.6</v>
      </c>
      <c r="D223" s="3"/>
      <c r="E223" t="str" cm="1">
        <f t="array" ref="E223">LLOOKUP(A223,H:H,H:H,0.6,0)</f>
        <v>Xilinx</v>
      </c>
      <c r="F223" s="3" cm="1">
        <f t="array" ref="F223">IF(E223&lt;&gt;"",LevenshteinSimilarity(A223,E223),"")</f>
        <v>0.6</v>
      </c>
      <c r="H223" t="s">
        <v>236</v>
      </c>
      <c r="I223">
        <v>95134</v>
      </c>
    </row>
    <row r="224" spans="1:9">
      <c r="A224" t="s">
        <v>498</v>
      </c>
      <c r="B224" t="str" cm="1">
        <f t="array" ref="B224">SLOOKUP(A224,H:H,H:H,0.6,0)</f>
        <v>Xoriant</v>
      </c>
      <c r="C224" s="3" cm="1">
        <f t="array" ref="C224">IF(B224&lt;&gt;"",SimpleSim(A224,B224),"")</f>
        <v>0.68181818181818177</v>
      </c>
      <c r="D224" s="3"/>
      <c r="E224" t="str" cm="1">
        <f t="array" ref="E224">LLOOKUP(A224,H:H,H:H,0.6,0)</f>
        <v>Xoriant</v>
      </c>
      <c r="F224" s="3" cm="1">
        <f t="array" ref="F224">IF(E224&lt;&gt;"",LevenshteinSimilarity(A224,E224),"")</f>
        <v>0.63636363636363635</v>
      </c>
      <c r="H224" t="s">
        <v>237</v>
      </c>
      <c r="I224">
        <v>95032</v>
      </c>
    </row>
    <row r="225" spans="1:9">
      <c r="A225" t="s">
        <v>499</v>
      </c>
      <c r="B225" t="str" cm="1">
        <f t="array" ref="B225">SLOOKUP(A225,H:H,H:H,0.6,0)</f>
        <v/>
      </c>
      <c r="C225" s="3" t="str" cm="1">
        <f t="array" ref="C225">IF(B225&lt;&gt;"",SimpleSim(A225,B225),"")</f>
        <v/>
      </c>
      <c r="D225" s="3"/>
      <c r="E225" t="str" cm="1">
        <f t="array" ref="E225">LLOOKUP(A225,H:H,H:H,0.6,0)</f>
        <v/>
      </c>
      <c r="F225" s="3" t="str" cm="1">
        <f t="array" ref="F225">IF(E225&lt;&gt;"",LevenshteinSimilarity(A225,E225),"")</f>
        <v/>
      </c>
      <c r="H225" t="s">
        <v>238</v>
      </c>
      <c r="I225">
        <v>95054</v>
      </c>
    </row>
    <row r="226" spans="1:9">
      <c r="A226" t="s">
        <v>500</v>
      </c>
      <c r="B226" t="str" cm="1">
        <f t="array" ref="B226">SLOOKUP(A226,H:H,H:H,0.6,0)</f>
        <v>Yodlee</v>
      </c>
      <c r="C226" s="3" cm="1">
        <f t="array" ref="C226">IF(B226&lt;&gt;"",SimpleSim(A226,B226),"")</f>
        <v>0.65</v>
      </c>
      <c r="D226" s="3"/>
      <c r="E226" t="str" cm="1">
        <f t="array" ref="E226">LLOOKUP(A226,H:H,H:H,0.6,0)</f>
        <v>Yodlee</v>
      </c>
      <c r="F226" s="3" cm="1">
        <f t="array" ref="F226">IF(E226&lt;&gt;"",LevenshteinSimilarity(A226,E226),"")</f>
        <v>0.6</v>
      </c>
      <c r="H226" t="s">
        <v>239</v>
      </c>
      <c r="I226">
        <v>95113</v>
      </c>
    </row>
    <row r="227" spans="1:9">
      <c r="A227" t="s">
        <v>501</v>
      </c>
      <c r="B227" t="str" cm="1">
        <f t="array" ref="B227">SLOOKUP(A227,H:H,H:H,0.6,0)</f>
        <v>YouTube</v>
      </c>
      <c r="C227" s="3" cm="1">
        <f t="array" ref="C227">IF(B227&lt;&gt;"",SimpleSim(A227,B227),"")</f>
        <v>0.68181818181818177</v>
      </c>
      <c r="D227" s="3"/>
      <c r="E227" t="str" cm="1">
        <f t="array" ref="E227">LLOOKUP(A227,H:H,H:H,0.6,0)</f>
        <v>YouTube</v>
      </c>
      <c r="F227" s="3" cm="1">
        <f t="array" ref="F227">IF(E227&lt;&gt;"",LevenshteinSimilarity(A227,E227),"")</f>
        <v>0.63636363636363635</v>
      </c>
      <c r="H227" t="s">
        <v>240</v>
      </c>
      <c r="I227">
        <v>94304</v>
      </c>
    </row>
    <row r="228" spans="1:9">
      <c r="A228" t="s">
        <v>503</v>
      </c>
      <c r="B228" t="str" cm="1">
        <f t="array" ref="B228">SLOOKUP(A228,H:H,H:H,0.6,0)</f>
        <v>Zazzle</v>
      </c>
      <c r="C228" s="3" cm="1">
        <f t="array" ref="C228">IF(B228&lt;&gt;"",SimpleSim(A228,B228),"")</f>
        <v>0.6</v>
      </c>
      <c r="D228" s="3"/>
      <c r="E228" t="str" cm="1">
        <f t="array" ref="E228">LLOOKUP(A228,H:H,H:H,0.6,0)</f>
        <v>Zazzle</v>
      </c>
      <c r="F228" s="3" cm="1">
        <f t="array" ref="F228">IF(E228&lt;&gt;"",LevenshteinSimilarity(A228,E228),"")</f>
        <v>0.6</v>
      </c>
      <c r="H228" t="s">
        <v>241</v>
      </c>
      <c r="I228">
        <v>94025</v>
      </c>
    </row>
    <row r="229" spans="1:9">
      <c r="A229" t="s">
        <v>504</v>
      </c>
      <c r="B229" t="str" cm="1">
        <f t="array" ref="B229">SLOOKUP(A229,H:H,H:H,0.6,0)</f>
        <v>Zicasso</v>
      </c>
      <c r="C229" s="3" cm="1">
        <f t="array" ref="C229">IF(B229&lt;&gt;"",SimpleSim(A229,B229),"")</f>
        <v>0.68939393939393934</v>
      </c>
      <c r="D229" s="3"/>
      <c r="E229" t="str" cm="1">
        <f t="array" ref="E229">LLOOKUP(A229,H:H,H:H,0.6,0)</f>
        <v>Zicasso</v>
      </c>
      <c r="F229" s="3" cm="1">
        <f t="array" ref="F229">IF(E229&lt;&gt;"",LevenshteinSimilarity(A229,E229),"")</f>
        <v>0.63636363636363635</v>
      </c>
      <c r="H229" t="s">
        <v>242</v>
      </c>
      <c r="I229">
        <v>94025</v>
      </c>
    </row>
    <row r="230" spans="1:9">
      <c r="A230" t="s">
        <v>505</v>
      </c>
      <c r="B230" t="str" cm="1">
        <f t="array" ref="B230">SLOOKUP(A230,H:H,H:H,0.6,0)</f>
        <v>Zipcar</v>
      </c>
      <c r="C230" s="3" cm="1">
        <f t="array" ref="C230">IF(B230&lt;&gt;"",SimpleSim(A230,B230),"")</f>
        <v>0.625</v>
      </c>
      <c r="D230" s="3"/>
      <c r="E230" t="str" cm="1">
        <f t="array" ref="E230">LLOOKUP(A230,H:H,H:H,0.6,0)</f>
        <v>Zipcar</v>
      </c>
      <c r="F230" s="3" cm="1">
        <f t="array" ref="F230">IF(E230&lt;&gt;"",LevenshteinSimilarity(A230,E230),"")</f>
        <v>0.6</v>
      </c>
      <c r="H230" t="s">
        <v>243</v>
      </c>
      <c r="I230">
        <v>94304</v>
      </c>
    </row>
    <row r="231" spans="1:9">
      <c r="A231" t="s">
        <v>506</v>
      </c>
      <c r="B231" t="str" cm="1">
        <f t="array" ref="B231">SLOOKUP(A231,H:H,H:H,0.6,0)</f>
        <v>Zscaler</v>
      </c>
      <c r="C231" s="3" cm="1">
        <f t="array" ref="C231">IF(B231&lt;&gt;"",SimpleSim(A231,B231),"")</f>
        <v>0.66666666666666663</v>
      </c>
      <c r="D231" s="3"/>
      <c r="E231" t="str" cm="1">
        <f t="array" ref="E231">LLOOKUP(A231,H:H,H:H,0.6,0)</f>
        <v>Zscaler</v>
      </c>
      <c r="F231" s="3" cm="1">
        <f t="array" ref="F231">IF(E231&lt;&gt;"",LevenshteinSimilarity(A231,E231),"")</f>
        <v>0.63636363636363635</v>
      </c>
      <c r="H231" t="s">
        <v>244</v>
      </c>
      <c r="I231">
        <v>94025</v>
      </c>
    </row>
    <row r="232" spans="1:9">
      <c r="A232" t="s">
        <v>507</v>
      </c>
      <c r="B232" t="str" cm="1">
        <f t="array" ref="B232">SLOOKUP(A232,H:H,H:H,0.6,0)</f>
        <v>Zume Pizza</v>
      </c>
      <c r="C232" s="3" cm="1">
        <f t="array" ref="C232">IF(B232&lt;&gt;"",SimpleSim(A232,B232),"")</f>
        <v>0.69047619047619047</v>
      </c>
      <c r="D232" s="3"/>
      <c r="E232" t="str" cm="1">
        <f t="array" ref="E232">LLOOKUP(A232,H:H,H:H,0.6,0)</f>
        <v>Zume Pizza</v>
      </c>
      <c r="F232" s="3" cm="1">
        <f t="array" ref="F232">IF(E232&lt;&gt;"",LevenshteinSimilarity(A232,E232),"")</f>
        <v>0.61538461538461542</v>
      </c>
      <c r="H232" t="s">
        <v>245</v>
      </c>
      <c r="I232">
        <v>94025</v>
      </c>
    </row>
    <row r="233" spans="1:9">
      <c r="A233" t="s">
        <v>508</v>
      </c>
      <c r="B233" t="str" cm="1">
        <f t="array" ref="B233">SLOOKUP(A233,H:H,H:H,0.6,0)</f>
        <v/>
      </c>
      <c r="C233" s="3" t="str" cm="1">
        <f t="array" ref="C233">IF(B233&lt;&gt;"",SimpleSim(A233,B233),"")</f>
        <v/>
      </c>
      <c r="D233" s="3"/>
      <c r="E233" t="str" cm="1">
        <f t="array" ref="E233">LLOOKUP(A233,H:H,H:H,0.6,0)</f>
        <v/>
      </c>
      <c r="F233" s="3" t="str" cm="1">
        <f t="array" ref="F233">IF(E233&lt;&gt;"",LevenshteinSimilarity(A233,E233),"")</f>
        <v/>
      </c>
      <c r="H233" t="s">
        <v>246</v>
      </c>
      <c r="I233">
        <v>94107</v>
      </c>
    </row>
    <row r="234" spans="1:9">
      <c r="B234" t="str" cm="1">
        <f t="array" ref="B234">SLOOKUP(A234,H:H,H:H,0.5)</f>
        <v/>
      </c>
      <c r="F234" s="3" t="str" cm="1">
        <f t="array" ref="F234">IF(E234&lt;&gt;"",LevenshteinSimilarity(A234,E234),"")</f>
        <v/>
      </c>
      <c r="H234" t="s">
        <v>247</v>
      </c>
      <c r="I234">
        <v>94040</v>
      </c>
    </row>
    <row r="235" spans="1:9">
      <c r="B235" t="str" cm="1">
        <f t="array" ref="B235">SLOOKUP(A235,H:H,H:H,0.5)</f>
        <v/>
      </c>
      <c r="F235" s="3" t="str" cm="1">
        <f t="array" ref="F235">IF(E235&lt;&gt;"",LevenshteinSimilarity(A235,E235),"")</f>
        <v/>
      </c>
      <c r="H235" t="s">
        <v>248</v>
      </c>
      <c r="I235">
        <v>94025</v>
      </c>
    </row>
    <row r="236" spans="1:9">
      <c r="B236" t="str" cm="1">
        <f t="array" ref="B236">SLOOKUP(A236,H:H,H:H,0.5)</f>
        <v/>
      </c>
      <c r="F236" s="3" t="str" cm="1">
        <f t="array" ref="F236">IF(E236&lt;&gt;"",LevenshteinSimilarity(A236,E236),"")</f>
        <v/>
      </c>
      <c r="H236" t="s">
        <v>249</v>
      </c>
      <c r="I236">
        <v>94040</v>
      </c>
    </row>
    <row r="237" spans="1:9">
      <c r="B237" t="str" cm="1">
        <f t="array" ref="B237">SLOOKUP(A237,H:H,H:H,0.5)</f>
        <v/>
      </c>
      <c r="F237" s="3" t="str" cm="1">
        <f t="array" ref="F237">IF(E237&lt;&gt;"",LevenshteinSimilarity(A237,E237),"")</f>
        <v/>
      </c>
      <c r="H237" t="s">
        <v>250</v>
      </c>
      <c r="I237">
        <v>94401</v>
      </c>
    </row>
    <row r="238" spans="1:9">
      <c r="B238" t="str" cm="1">
        <f t="array" ref="B238">SLOOKUP(A238,H:H,H:H,0.5)</f>
        <v/>
      </c>
      <c r="F238" s="3" t="str" cm="1">
        <f t="array" ref="F238">IF(E238&lt;&gt;"",LevenshteinSimilarity(A238,E238),"")</f>
        <v/>
      </c>
      <c r="H238" t="s">
        <v>251</v>
      </c>
      <c r="I238">
        <v>94404</v>
      </c>
    </row>
    <row r="239" spans="1:9">
      <c r="B239" t="str" cm="1">
        <f t="array" ref="B239">SLOOKUP(A239,H:H,H:H,0.5)</f>
        <v/>
      </c>
      <c r="F239" s="3" t="str" cm="1">
        <f t="array" ref="F239">IF(E239&lt;&gt;"",LevenshteinSimilarity(A239,E239),"")</f>
        <v/>
      </c>
      <c r="H239" t="s">
        <v>252</v>
      </c>
      <c r="I239">
        <v>94401</v>
      </c>
    </row>
    <row r="240" spans="1:9">
      <c r="B240" t="str" cm="1">
        <f t="array" ref="B240">SLOOKUP(A240,H:H,H:H,0.5)</f>
        <v/>
      </c>
      <c r="F240" s="3" t="str" cm="1">
        <f t="array" ref="F240">IF(E240&lt;&gt;"",LevenshteinSimilarity(A240,E240),"")</f>
        <v/>
      </c>
      <c r="H240" t="s">
        <v>253</v>
      </c>
      <c r="I240">
        <v>94555</v>
      </c>
    </row>
    <row r="241" spans="2:9">
      <c r="B241" t="str" cm="1">
        <f t="array" ref="B241">SLOOKUP(A241,H:H,H:H,0.5)</f>
        <v/>
      </c>
      <c r="F241" s="3" t="str" cm="1">
        <f t="array" ref="F241">IF(E241&lt;&gt;"",LevenshteinSimilarity(A241,E241),"")</f>
        <v/>
      </c>
      <c r="H241" t="s">
        <v>254</v>
      </c>
      <c r="I241">
        <v>94404</v>
      </c>
    </row>
    <row r="242" spans="2:9">
      <c r="B242" t="str" cm="1">
        <f t="array" ref="B242">SLOOKUP(A242,H:H,H:H,0.5)</f>
        <v/>
      </c>
      <c r="F242" s="3" t="str" cm="1">
        <f t="array" ref="F242">IF(E242&lt;&gt;"",LevenshteinSimilarity(A242,E242),"")</f>
        <v/>
      </c>
      <c r="H242" t="s">
        <v>255</v>
      </c>
      <c r="I242">
        <v>94304</v>
      </c>
    </row>
    <row r="243" spans="2:9">
      <c r="B243" t="str" cm="1">
        <f t="array" ref="B243">SLOOKUP(A243,H:H,H:H,0.5)</f>
        <v/>
      </c>
      <c r="F243" s="3" t="str" cm="1">
        <f t="array" ref="F243">IF(E243&lt;&gt;"",LevenshteinSimilarity(A243,E243),"")</f>
        <v/>
      </c>
      <c r="H243" t="s">
        <v>256</v>
      </c>
      <c r="I243">
        <v>94538</v>
      </c>
    </row>
    <row r="244" spans="2:9">
      <c r="B244" t="str" cm="1">
        <f t="array" ref="B244">SLOOKUP(A244,H:H,H:H,0.5)</f>
        <v/>
      </c>
      <c r="F244" s="3" t="str" cm="1">
        <f t="array" ref="F244">IF(E244&lt;&gt;"",LevenshteinSimilarity(A244,E244),"")</f>
        <v/>
      </c>
      <c r="H244" t="s">
        <v>257</v>
      </c>
      <c r="I244">
        <v>94086</v>
      </c>
    </row>
    <row r="245" spans="2:9">
      <c r="B245" t="str" cm="1">
        <f t="array" ref="B245">SLOOKUP(A245,H:H,H:H,0.5)</f>
        <v/>
      </c>
      <c r="F245" s="3" t="str" cm="1">
        <f t="array" ref="F245">IF(E245&lt;&gt;"",LevenshteinSimilarity(A245,E245),"")</f>
        <v/>
      </c>
      <c r="H245" t="s">
        <v>258</v>
      </c>
      <c r="I245">
        <v>94063</v>
      </c>
    </row>
    <row r="246" spans="2:9">
      <c r="B246" t="str" cm="1">
        <f t="array" ref="B246">SLOOKUP(A246,H:H,H:H,0.5)</f>
        <v/>
      </c>
      <c r="F246" s="3" t="str" cm="1">
        <f t="array" ref="F246">IF(E246&lt;&gt;"",LevenshteinSimilarity(A246,E246),"")</f>
        <v/>
      </c>
      <c r="H246" t="s">
        <v>259</v>
      </c>
    </row>
    <row r="247" spans="2:9">
      <c r="B247" t="str" cm="1">
        <f t="array" ref="B247">SLOOKUP(A247,H:H,H:H,0.5)</f>
        <v/>
      </c>
      <c r="F247" s="3" t="str" cm="1">
        <f t="array" ref="F247">IF(E247&lt;&gt;"",LevenshteinSimilarity(A247,E247),"")</f>
        <v/>
      </c>
      <c r="H247" t="s">
        <v>260</v>
      </c>
      <c r="I247">
        <v>94063</v>
      </c>
    </row>
    <row r="248" spans="2:9">
      <c r="B248" t="str" cm="1">
        <f t="array" ref="B248">SLOOKUP(A248,H:H,H:H,0.5)</f>
        <v/>
      </c>
      <c r="F248" s="3" t="str" cm="1">
        <f t="array" ref="F248">IF(E248&lt;&gt;"",LevenshteinSimilarity(A248,E248),"")</f>
        <v/>
      </c>
      <c r="H248" t="s">
        <v>261</v>
      </c>
      <c r="I248">
        <v>94041</v>
      </c>
    </row>
    <row r="249" spans="2:9">
      <c r="B249" t="str" cm="1">
        <f t="array" ref="B249">SLOOKUP(A249,H:H,H:H,0.5)</f>
        <v/>
      </c>
      <c r="F249" s="3" t="str" cm="1">
        <f t="array" ref="F249">IF(E249&lt;&gt;"",LevenshteinSimilarity(A249,E249),"")</f>
        <v/>
      </c>
      <c r="H249" t="s">
        <v>262</v>
      </c>
      <c r="I249">
        <v>94402</v>
      </c>
    </row>
    <row r="250" spans="2:9">
      <c r="B250" t="str" cm="1">
        <f t="array" ref="B250">SLOOKUP(A250,H:H,H:H,0.5)</f>
        <v/>
      </c>
      <c r="F250" s="3" t="str" cm="1">
        <f t="array" ref="F250">IF(E250&lt;&gt;"",LevenshteinSimilarity(A250,E250),"")</f>
        <v/>
      </c>
      <c r="H250" t="s">
        <v>263</v>
      </c>
      <c r="I250">
        <v>94041</v>
      </c>
    </row>
    <row r="251" spans="2:9">
      <c r="B251" t="str" cm="1">
        <f t="array" ref="B251">SLOOKUP(A251,H:H,H:H,0.5)</f>
        <v/>
      </c>
      <c r="F251" s="3" t="str" cm="1">
        <f t="array" ref="F251">IF(E251&lt;&gt;"",LevenshteinSimilarity(A251,E251),"")</f>
        <v/>
      </c>
      <c r="H251" t="s">
        <v>264</v>
      </c>
      <c r="I251">
        <v>94063</v>
      </c>
    </row>
    <row r="252" spans="2:9">
      <c r="B252" t="str" cm="1">
        <f t="array" ref="B252">SLOOKUP(A252,H:H,H:H,0.5)</f>
        <v/>
      </c>
      <c r="F252" s="3" t="str" cm="1">
        <f t="array" ref="F252">IF(E252&lt;&gt;"",LevenshteinSimilarity(A252,E252),"")</f>
        <v/>
      </c>
      <c r="H252" t="s">
        <v>265</v>
      </c>
      <c r="I252">
        <v>95124</v>
      </c>
    </row>
    <row r="253" spans="2:9">
      <c r="B253" t="str" cm="1">
        <f t="array" ref="B253">SLOOKUP(A253,H:H,H:H,0.5)</f>
        <v/>
      </c>
      <c r="F253" s="3" t="str" cm="1">
        <f t="array" ref="F253">IF(E253&lt;&gt;"",LevenshteinSimilarity(A253,E253),"")</f>
        <v/>
      </c>
      <c r="H253" t="s">
        <v>266</v>
      </c>
      <c r="I253">
        <v>94089</v>
      </c>
    </row>
    <row r="254" spans="2:9">
      <c r="B254" t="str" cm="1">
        <f t="array" ref="B254">SLOOKUP(A254,H:H,H:H,0.5)</f>
        <v/>
      </c>
      <c r="F254" s="3" t="str" cm="1">
        <f t="array" ref="F254">IF(E254&lt;&gt;"",LevenshteinSimilarity(A254,E254),"")</f>
        <v/>
      </c>
      <c r="H254" t="s">
        <v>267</v>
      </c>
      <c r="I254">
        <v>94089</v>
      </c>
    </row>
    <row r="255" spans="2:9">
      <c r="B255" t="str" cm="1">
        <f t="array" ref="B255">SLOOKUP(A255,H:H,H:H,0.5)</f>
        <v/>
      </c>
      <c r="F255" s="3" t="str" cm="1">
        <f t="array" ref="F255">IF(E255&lt;&gt;"",LevenshteinSimilarity(A255,E255),"")</f>
        <v/>
      </c>
      <c r="H255" t="s">
        <v>268</v>
      </c>
      <c r="I255">
        <v>94065</v>
      </c>
    </row>
    <row r="256" spans="2:9">
      <c r="B256" t="str" cm="1">
        <f t="array" ref="B256">SLOOKUP(A256,H:H,H:H,0.5)</f>
        <v/>
      </c>
      <c r="F256" s="3" t="str" cm="1">
        <f t="array" ref="F256">IF(E256&lt;&gt;"",LevenshteinSimilarity(A256,E256),"")</f>
        <v/>
      </c>
      <c r="H256" t="s">
        <v>269</v>
      </c>
      <c r="I256">
        <v>94066</v>
      </c>
    </row>
    <row r="257" spans="2:9">
      <c r="B257" t="str" cm="1">
        <f t="array" ref="B257">SLOOKUP(A257,H:H,H:H,0.5)</f>
        <v/>
      </c>
      <c r="F257" s="3" t="str" cm="1">
        <f t="array" ref="F257">IF(E257&lt;&gt;"",LevenshteinSimilarity(A257,E257),"")</f>
        <v/>
      </c>
      <c r="H257" t="s">
        <v>270</v>
      </c>
      <c r="I257">
        <v>94306</v>
      </c>
    </row>
    <row r="258" spans="2:9">
      <c r="B258" t="str" cm="1">
        <f t="array" ref="B258">SLOOKUP(A258,H:H,H:H,0.5)</f>
        <v/>
      </c>
      <c r="F258" s="3" t="str" cm="1">
        <f t="array" ref="F258">IF(E258&lt;&gt;"",LevenshteinSimilarity(A258,E258),"")</f>
        <v/>
      </c>
      <c r="H258" t="s">
        <v>271</v>
      </c>
      <c r="I258">
        <v>94063</v>
      </c>
    </row>
    <row r="259" spans="2:9">
      <c r="B259" t="str" cm="1">
        <f t="array" ref="B259">SLOOKUP(A259,H:H,H:H,0.5)</f>
        <v/>
      </c>
      <c r="F259" s="3" t="str" cm="1">
        <f t="array" ref="F259">IF(E259&lt;&gt;"",LevenshteinSimilarity(A259,E259),"")</f>
        <v/>
      </c>
      <c r="H259" t="s">
        <v>272</v>
      </c>
      <c r="I259">
        <v>94040</v>
      </c>
    </row>
    <row r="260" spans="2:9">
      <c r="B260" t="str" cm="1">
        <f t="array" ref="B260">SLOOKUP(A260,H:H,H:H,0.5)</f>
        <v/>
      </c>
      <c r="F260" s="3" t="str" cm="1">
        <f t="array" ref="F260">IF(E260&lt;&gt;"",LevenshteinSimilarity(A260,E260),"")</f>
        <v/>
      </c>
      <c r="H260" t="s">
        <v>273</v>
      </c>
      <c r="I260">
        <v>94401</v>
      </c>
    </row>
    <row r="261" spans="2:9">
      <c r="B261" t="str" cm="1">
        <f t="array" ref="B261">SLOOKUP(A261,H:H,H:H,0.5)</f>
        <v/>
      </c>
      <c r="F261" s="3" t="str" cm="1">
        <f t="array" ref="F261">IF(E261&lt;&gt;"",LevenshteinSimilarity(A261,E261),"")</f>
        <v/>
      </c>
      <c r="H261" t="s">
        <v>274</v>
      </c>
      <c r="I261">
        <v>95134</v>
      </c>
    </row>
    <row r="262" spans="2:9">
      <c r="B262" t="str" cm="1">
        <f t="array" ref="B262">SLOOKUP(A262,H:H,H:H,0.5)</f>
        <v/>
      </c>
      <c r="F262" s="3" t="str" cm="1">
        <f t="array" ref="F262">IF(E262&lt;&gt;"",LevenshteinSimilarity(A262,E262),"")</f>
        <v/>
      </c>
      <c r="H262" t="s">
        <v>275</v>
      </c>
      <c r="I262">
        <v>94043</v>
      </c>
    </row>
    <row r="263" spans="2:9">
      <c r="B263" t="str" cm="1">
        <f t="array" ref="B263">SLOOKUP(A263,H:H,H:H,0.5)</f>
        <v/>
      </c>
      <c r="F263" s="3" t="str" cm="1">
        <f t="array" ref="F263">IF(E263&lt;&gt;"",LevenshteinSimilarity(A263,E263),"")</f>
        <v/>
      </c>
      <c r="H263" t="s">
        <v>276</v>
      </c>
      <c r="I263">
        <v>94403</v>
      </c>
    </row>
    <row r="264" spans="2:9">
      <c r="B264" t="str" cm="1">
        <f t="array" ref="B264">SLOOKUP(A264,H:H,H:H,0.5)</f>
        <v/>
      </c>
    </row>
    <row r="265" spans="2:9">
      <c r="B265" t="str" cm="1">
        <f t="array" ref="B265">SLOOKUP(A265,H:H,H:H,0.5)</f>
        <v/>
      </c>
    </row>
    <row r="266" spans="2:9">
      <c r="B266" t="str" cm="1">
        <f t="array" ref="B266">SLOOKUP(A266,H:H,H:H,0.5)</f>
        <v/>
      </c>
    </row>
  </sheetData>
  <autoFilter ref="H1:I267" xr:uid="{828B1D9B-E213-430C-9F12-468220E1D81F}">
    <sortState xmlns:xlrd2="http://schemas.microsoft.com/office/spreadsheetml/2017/richdata2" ref="H2:I267">
      <sortCondition ref="H1:H267"/>
    </sortState>
  </autoFilter>
  <sortState xmlns:xlrd2="http://schemas.microsoft.com/office/spreadsheetml/2017/richdata2" ref="H3:I101">
    <sortCondition ref="H3:H101"/>
  </sortState>
  <pageMargins left="0.7" right="0.7" top="0.78740157499999996" bottom="0.78740157499999996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F08AE-BEC1-9246-A056-8C1A5F69D139}">
  <sheetPr codeName="Sheet1"/>
  <dimension ref="A1:K266"/>
  <sheetViews>
    <sheetView workbookViewId="0">
      <selection activeCell="C21" sqref="C21"/>
    </sheetView>
  </sheetViews>
  <sheetFormatPr baseColWidth="10" defaultRowHeight="14"/>
  <cols>
    <col min="1" max="1" width="27.1640625" bestFit="1" customWidth="1"/>
    <col min="2" max="2" width="26.33203125" customWidth="1"/>
    <col min="3" max="3" width="20" customWidth="1"/>
    <col min="4" max="4" width="14.33203125" customWidth="1"/>
    <col min="5" max="5" width="28.5" customWidth="1"/>
    <col min="6" max="6" width="28.6640625" customWidth="1"/>
    <col min="7" max="7" width="14.33203125" customWidth="1"/>
    <col min="8" max="8" width="25" bestFit="1" customWidth="1"/>
  </cols>
  <sheetData>
    <row r="1" spans="1:11">
      <c r="A1" s="1" t="s">
        <v>517</v>
      </c>
      <c r="B1" s="2" t="s">
        <v>510</v>
      </c>
      <c r="C1" s="4" t="s">
        <v>0</v>
      </c>
      <c r="E1" s="2" t="s">
        <v>511</v>
      </c>
      <c r="F1" s="4" t="s">
        <v>13</v>
      </c>
      <c r="H1" s="1" t="s">
        <v>14</v>
      </c>
      <c r="I1" t="s">
        <v>509</v>
      </c>
    </row>
    <row r="2" spans="1:11">
      <c r="A2" t="str">
        <f>SUBSTITUTE(SUBSTITUTE(Example1!A2,"www.",""),".com","")</f>
        <v>23andme</v>
      </c>
      <c r="B2" t="str" cm="1">
        <f t="array" ref="B2">SLOOKUP(A2,H:H,H:H,0.6,0)</f>
        <v>23andMe</v>
      </c>
      <c r="C2" s="3" cm="1">
        <f t="array" ref="C2">IF(B2&lt;&gt;"",SimpleSim(A2,B2),"")</f>
        <v>1</v>
      </c>
      <c r="D2" s="3"/>
      <c r="E2" t="str" cm="1">
        <f t="array" ref="E2">LLOOKUP(A2,H:H,H:H,0.6,0)</f>
        <v>23andMe</v>
      </c>
      <c r="F2" s="3" cm="1">
        <f t="array" ref="F2">IF(E2&lt;&gt;"",LevenshteinSimilarity(A2,E2),"")</f>
        <v>1</v>
      </c>
      <c r="G2" s="3"/>
      <c r="H2" t="s">
        <v>15</v>
      </c>
      <c r="I2">
        <v>94041</v>
      </c>
    </row>
    <row r="3" spans="1:11">
      <c r="A3" t="str">
        <f>SUBSTITUTE(SUBSTITUTE(Example1!A3,"www.",""),".com","")</f>
        <v>280group</v>
      </c>
      <c r="B3" t="str" cm="1">
        <f t="array" ref="B3">SLOOKUP(A3,H:H,H:H,0.6,0)</f>
        <v>280 Group</v>
      </c>
      <c r="C3" s="3" cm="1">
        <f t="array" ref="C3">IF(B3&lt;&gt;"",SimpleSim(A3,B3),"")</f>
        <v>0.9375</v>
      </c>
      <c r="D3" s="3"/>
      <c r="E3" t="str" cm="1">
        <f t="array" ref="E3">LLOOKUP(A3,H:H,H:H,0.6,0)</f>
        <v>280 Group</v>
      </c>
      <c r="F3" s="3" cm="1">
        <f t="array" ref="F3">IF(E3&lt;&gt;"",LevenshteinSimilarity(A3,E3),"")</f>
        <v>0.875</v>
      </c>
      <c r="G3" s="3"/>
      <c r="H3" t="s">
        <v>16</v>
      </c>
      <c r="I3">
        <v>95030</v>
      </c>
      <c r="K3" t="s">
        <v>522</v>
      </c>
    </row>
    <row r="4" spans="1:11">
      <c r="A4" t="str">
        <f>SUBSTITUTE(SUBSTITUTE(Example1!A4,"www.",""),".com","")</f>
        <v>2go</v>
      </c>
      <c r="B4" t="str" cm="1">
        <f t="array" ref="B4">SLOOKUP(A4,H:H,H:H,0.6,0)</f>
        <v>Invoice2go</v>
      </c>
      <c r="C4" s="3" cm="1">
        <f t="array" ref="C4">IF(B4&lt;&gt;"",SimpleSim(A4,B4),"")</f>
        <v>0.70833333333333337</v>
      </c>
      <c r="D4" s="3"/>
      <c r="E4" t="str" cm="1">
        <f t="array" ref="E4">LLOOKUP(A4,H:H,H:H,0.6,0)</f>
        <v/>
      </c>
      <c r="F4" s="3" t="str" cm="1">
        <f t="array" ref="F4">IF(E4&lt;&gt;"",LevenshteinSimilarity(A4,E4),"")</f>
        <v/>
      </c>
      <c r="G4" s="3"/>
      <c r="H4" t="s">
        <v>17</v>
      </c>
      <c r="I4">
        <v>94025</v>
      </c>
    </row>
    <row r="5" spans="1:11">
      <c r="A5" t="str">
        <f>SUBSTITUTE(SUBSTITUTE(Example1!A5,"www.",""),".com","")</f>
        <v>5amventures</v>
      </c>
      <c r="B5" t="str" cm="1">
        <f t="array" ref="B5">SLOOKUP(A5,H:H,H:H,0.6,0)</f>
        <v>5AM Ventures</v>
      </c>
      <c r="C5" s="3" cm="1">
        <f t="array" ref="C5">IF(B5&lt;&gt;"",SimpleSim(A5,B5),"")</f>
        <v>0.95454545454545459</v>
      </c>
      <c r="D5" s="3"/>
      <c r="E5" t="str" cm="1">
        <f t="array" ref="E5">LLOOKUP(A5,H:H,H:H,0.6,0)</f>
        <v>5AM Ventures</v>
      </c>
      <c r="F5" s="3" cm="1">
        <f t="array" ref="F5">IF(E5&lt;&gt;"",LevenshteinSimilarity(A5,E5),"")</f>
        <v>0.90909090909090906</v>
      </c>
      <c r="G5" s="3"/>
      <c r="H5" t="s">
        <v>18</v>
      </c>
      <c r="I5">
        <v>94025</v>
      </c>
      <c r="K5" t="s">
        <v>523</v>
      </c>
    </row>
    <row r="6" spans="1:11">
      <c r="A6" t="str">
        <f>SUBSTITUTE(SUBSTITUTE(Example1!A6,"www.",""),".com","")</f>
        <v>a16z</v>
      </c>
      <c r="B6" t="str" cm="1">
        <f t="array" ref="B6">SLOOKUP(A6,H:H,H:H,0.6,0)</f>
        <v/>
      </c>
      <c r="C6" s="3" t="str" cm="1">
        <f t="array" ref="C6">IF(B6&lt;&gt;"",SimpleSim(A6,B6),"")</f>
        <v/>
      </c>
      <c r="D6" s="3"/>
      <c r="E6" t="str" cm="1">
        <f t="array" ref="E6">LLOOKUP(A6,H:H,H:H,0.6,0)</f>
        <v/>
      </c>
      <c r="F6" s="3" t="str" cm="1">
        <f t="array" ref="F6">IF(E6&lt;&gt;"",LevenshteinSimilarity(A6,E6),"")</f>
        <v/>
      </c>
      <c r="G6" s="3"/>
      <c r="H6" t="s">
        <v>19</v>
      </c>
      <c r="I6">
        <v>94041</v>
      </c>
    </row>
    <row r="7" spans="1:11">
      <c r="A7" t="str">
        <f>SUBSTITUTE(SUBSTITUTE(Example1!A7,"www.",""),".com","")</f>
        <v>about.flipboard</v>
      </c>
      <c r="B7" t="str" cm="1">
        <f t="array" ref="B7">SLOOKUP(A7,H:H,H:H,0.6,0)</f>
        <v>Flipboard</v>
      </c>
      <c r="C7" s="3" cm="1">
        <f t="array" ref="C7">IF(B7&lt;&gt;"",SimpleSim(A7,B7),"")</f>
        <v>0.69285714285714284</v>
      </c>
      <c r="D7" s="3"/>
      <c r="E7" t="str" cm="1">
        <f t="array" ref="E7">LLOOKUP(A7,H:H,H:H,0.6,0)</f>
        <v>Flipboard</v>
      </c>
      <c r="F7" s="3" cm="1">
        <f t="array" ref="F7">IF(E7&lt;&gt;"",LevenshteinSimilarity(A7,E7),"")</f>
        <v>0.6</v>
      </c>
      <c r="G7" s="3"/>
      <c r="H7" t="s">
        <v>20</v>
      </c>
      <c r="I7">
        <v>94066</v>
      </c>
      <c r="K7" t="s">
        <v>524</v>
      </c>
    </row>
    <row r="8" spans="1:11">
      <c r="A8" t="str">
        <f>SUBSTITUTE(SUBSTITUTE(Example1!A8,"www.",""),".com","")</f>
        <v>acquia</v>
      </c>
      <c r="B8" t="str" cm="1">
        <f t="array" ref="B8">SLOOKUP(A8,H:H,H:H,0.6,0)</f>
        <v/>
      </c>
      <c r="C8" s="3" t="str" cm="1">
        <f t="array" ref="C8">IF(B8&lt;&gt;"",SimpleSim(A8,B8),"")</f>
        <v/>
      </c>
      <c r="D8" s="3"/>
      <c r="E8" t="str" cm="1">
        <f t="array" ref="E8">LLOOKUP(A8,H:H,H:H,0.6,0)</f>
        <v/>
      </c>
      <c r="F8" s="3" t="str" cm="1">
        <f t="array" ref="F8">IF(E8&lt;&gt;"",LevenshteinSimilarity(A8,E8),"")</f>
        <v/>
      </c>
      <c r="G8" s="3"/>
      <c r="H8" t="s">
        <v>21</v>
      </c>
      <c r="I8">
        <v>94103</v>
      </c>
      <c r="K8" t="s">
        <v>525</v>
      </c>
    </row>
    <row r="9" spans="1:11">
      <c r="A9" t="str">
        <f>SUBSTITUTE(SUBSTITUTE(Example1!A9,"www.",""),".com","")</f>
        <v>addepar</v>
      </c>
      <c r="B9" t="str" cm="1">
        <f t="array" ref="B9">SLOOKUP(A9,H:H,H:H,0.6,0)</f>
        <v>Addepar</v>
      </c>
      <c r="C9" s="3" cm="1">
        <f t="array" ref="C9">IF(B9&lt;&gt;"",SimpleSim(A9,B9),"")</f>
        <v>1</v>
      </c>
      <c r="D9" s="3"/>
      <c r="E9" t="str" cm="1">
        <f t="array" ref="E9">LLOOKUP(A9,H:H,H:H,0.6,0)</f>
        <v>Addepar</v>
      </c>
      <c r="F9" s="3" cm="1">
        <f t="array" ref="F9">IF(E9&lt;&gt;"",LevenshteinSimilarity(A9,E9),"")</f>
        <v>1</v>
      </c>
      <c r="G9" s="3"/>
      <c r="H9" t="s">
        <v>22</v>
      </c>
      <c r="I9">
        <v>94085</v>
      </c>
    </row>
    <row r="10" spans="1:11">
      <c r="A10" t="str">
        <f>SUBSTITUTE(SUBSTITUTE(Example1!A10,"www.",""),".com","")</f>
        <v>alation</v>
      </c>
      <c r="B10" t="str" cm="1">
        <f t="array" ref="B10">SLOOKUP(A10,H:H,H:H,0.6,0)</f>
        <v>Alation</v>
      </c>
      <c r="C10" s="3" cm="1">
        <f t="array" ref="C10">IF(B10&lt;&gt;"",SimpleSim(A10,B10),"")</f>
        <v>1</v>
      </c>
      <c r="D10" s="3"/>
      <c r="E10" t="str" cm="1">
        <f t="array" ref="E10">LLOOKUP(A10,H:H,H:H,0.6,0)</f>
        <v>Alation</v>
      </c>
      <c r="F10" s="3" cm="1">
        <f t="array" ref="F10">IF(E10&lt;&gt;"",LevenshteinSimilarity(A10,E10),"")</f>
        <v>1</v>
      </c>
      <c r="G10" s="3"/>
      <c r="H10" t="s">
        <v>23</v>
      </c>
      <c r="I10">
        <v>94063</v>
      </c>
    </row>
    <row r="11" spans="1:11">
      <c r="A11" t="str">
        <f>SUBSTITUTE(SUBSTITUTE(Example1!A11,"www.",""),".com","")</f>
        <v>amazon</v>
      </c>
      <c r="B11" t="str" cm="1">
        <f t="array" ref="B11">SLOOKUP(A11,H:H,H:H,0.6,0)</f>
        <v>Amazon</v>
      </c>
      <c r="C11" s="3" cm="1">
        <f t="array" ref="C11">IF(B11&lt;&gt;"",SimpleSim(A11,B11),"")</f>
        <v>1</v>
      </c>
      <c r="D11" s="3"/>
      <c r="E11" t="str" cm="1">
        <f t="array" ref="E11">LLOOKUP(A11,H:H,H:H,0.6,0)</f>
        <v>Amazon</v>
      </c>
      <c r="F11" s="3" cm="1">
        <f t="array" ref="F11">IF(E11&lt;&gt;"",LevenshteinSimilarity(A11,E11),"")</f>
        <v>1</v>
      </c>
      <c r="G11" s="3"/>
      <c r="H11" t="s">
        <v>24</v>
      </c>
      <c r="I11">
        <v>94403</v>
      </c>
    </row>
    <row r="12" spans="1:11">
      <c r="A12" t="str">
        <f>SUBSTITUTE(SUBSTITUTE(Example1!A12,"www.",""),".com","")</f>
        <v>ambient.ai</v>
      </c>
      <c r="B12" t="str" cm="1">
        <f t="array" ref="B12">SLOOKUP(A12,H:H,H:H,0.6,0)</f>
        <v>Ambient.ai</v>
      </c>
      <c r="C12" s="3" cm="1">
        <f t="array" ref="C12">IF(B12&lt;&gt;"",SimpleSim(A12,B12),"")</f>
        <v>1</v>
      </c>
      <c r="D12" s="3"/>
      <c r="E12" t="str" cm="1">
        <f t="array" ref="E12">LLOOKUP(A12,H:H,H:H,0.6,0)</f>
        <v>Ambient.ai</v>
      </c>
      <c r="F12" s="3" cm="1">
        <f t="array" ref="F12">IF(E12&lt;&gt;"",LevenshteinSimilarity(A12,E12),"")</f>
        <v>1</v>
      </c>
      <c r="G12" s="3"/>
      <c r="H12" t="s">
        <v>25</v>
      </c>
      <c r="I12">
        <v>94025</v>
      </c>
    </row>
    <row r="13" spans="1:11">
      <c r="A13" t="str">
        <f>SUBSTITUTE(SUBSTITUTE(Example1!A13,"www.",""),".com","")</f>
        <v>anomali</v>
      </c>
      <c r="B13" t="str" cm="1">
        <f t="array" ref="B13">SLOOKUP(A13,H:H,H:H,0.6,0)</f>
        <v>Anomali</v>
      </c>
      <c r="C13" s="3" cm="1">
        <f t="array" ref="C13">IF(B13&lt;&gt;"",SimpleSim(A13,B13),"")</f>
        <v>1</v>
      </c>
      <c r="D13" s="3"/>
      <c r="E13" t="str" cm="1">
        <f t="array" ref="E13">LLOOKUP(A13,H:H,H:H,0.6,0)</f>
        <v>Anomali</v>
      </c>
      <c r="F13" s="3" cm="1">
        <f t="array" ref="F13">IF(E13&lt;&gt;"",LevenshteinSimilarity(A13,E13),"")</f>
        <v>1</v>
      </c>
      <c r="G13" s="3"/>
      <c r="H13" t="s">
        <v>26</v>
      </c>
      <c r="I13">
        <v>94025</v>
      </c>
    </row>
    <row r="14" spans="1:11">
      <c r="A14" t="str">
        <f>SUBSTITUTE(SUBSTITUTE(Example1!A14,"www.",""),".com","")</f>
        <v>apttus</v>
      </c>
      <c r="B14" t="str" cm="1">
        <f t="array" ref="B14">SLOOKUP(A14,H:H,H:H,0.6,0)</f>
        <v>Apttus</v>
      </c>
      <c r="C14" s="3" cm="1">
        <f t="array" ref="C14">IF(B14&lt;&gt;"",SimpleSim(A14,B14),"")</f>
        <v>1</v>
      </c>
      <c r="D14" s="3"/>
      <c r="E14" t="str" cm="1">
        <f t="array" ref="E14">LLOOKUP(A14,H:H,H:H,0.6,0)</f>
        <v>Apttus</v>
      </c>
      <c r="F14" s="3" cm="1">
        <f t="array" ref="F14">IF(E14&lt;&gt;"",LevenshteinSimilarity(A14,E14),"")</f>
        <v>1</v>
      </c>
      <c r="G14" s="3"/>
      <c r="H14" t="s">
        <v>27</v>
      </c>
      <c r="I14">
        <v>94303</v>
      </c>
    </row>
    <row r="15" spans="1:11">
      <c r="A15" t="str">
        <f>SUBSTITUTE(SUBSTITUTE(Example1!A15,"www.",""),".com","")</f>
        <v>arista</v>
      </c>
      <c r="B15" t="str" cm="1">
        <f t="array" ref="B15">SLOOKUP(A15,H:H,H:H,0.6,0)</f>
        <v>Arista</v>
      </c>
      <c r="C15" s="3" cm="1">
        <f t="array" ref="C15">IF(B15&lt;&gt;"",SimpleSim(A15,B15),"")</f>
        <v>1</v>
      </c>
      <c r="D15" s="3"/>
      <c r="E15" t="str" cm="1">
        <f t="array" ref="E15">LLOOKUP(A15,H:H,H:H,0.6,0)</f>
        <v>Arista</v>
      </c>
      <c r="F15" s="3" cm="1">
        <f t="array" ref="F15">IF(E15&lt;&gt;"",LevenshteinSimilarity(A15,E15),"")</f>
        <v>1</v>
      </c>
      <c r="G15" s="3"/>
      <c r="H15" t="s">
        <v>28</v>
      </c>
      <c r="I15">
        <v>94301</v>
      </c>
    </row>
    <row r="16" spans="1:11">
      <c r="A16" t="str">
        <f>SUBSTITUTE(SUBSTITUTE(Example1!A16,"www.",""),".com","")</f>
        <v>avast</v>
      </c>
      <c r="B16" t="str" cm="1">
        <f t="array" ref="B16">SLOOKUP(A16,H:H,H:H,0.6,0)</f>
        <v>Avast</v>
      </c>
      <c r="C16" s="3" cm="1">
        <f t="array" ref="C16">IF(B16&lt;&gt;"",SimpleSim(A16,B16),"")</f>
        <v>1</v>
      </c>
      <c r="D16" s="3"/>
      <c r="E16" t="str" cm="1">
        <f t="array" ref="E16">LLOOKUP(A16,H:H,H:H,0.6,0)</f>
        <v>Avast</v>
      </c>
      <c r="F16" s="3" cm="1">
        <f t="array" ref="F16">IF(E16&lt;&gt;"",LevenshteinSimilarity(A16,E16),"")</f>
        <v>1</v>
      </c>
      <c r="G16" s="3"/>
      <c r="H16" t="s">
        <v>29</v>
      </c>
      <c r="I16">
        <v>95054</v>
      </c>
    </row>
    <row r="17" spans="1:9">
      <c r="A17" t="str">
        <f>SUBSTITUTE(SUBSTITUTE(Example1!A17,"www.",""),".com","")</f>
        <v>benevity</v>
      </c>
      <c r="B17" t="str" cm="1">
        <f t="array" ref="B17">SLOOKUP(A17,H:H,H:H,0.6,0)</f>
        <v>Benevity</v>
      </c>
      <c r="C17" s="3" cm="1">
        <f t="array" ref="C17">IF(B17&lt;&gt;"",SimpleSim(A17,B17),"")</f>
        <v>1</v>
      </c>
      <c r="D17" s="3"/>
      <c r="E17" t="str" cm="1">
        <f t="array" ref="E17">LLOOKUP(A17,H:H,H:H,0.6,0)</f>
        <v>Benevity</v>
      </c>
      <c r="F17" s="3" cm="1">
        <f t="array" ref="F17">IF(E17&lt;&gt;"",LevenshteinSimilarity(A17,E17),"")</f>
        <v>1</v>
      </c>
      <c r="G17" s="3"/>
      <c r="H17" t="s">
        <v>30</v>
      </c>
      <c r="I17">
        <v>94043</v>
      </c>
    </row>
    <row r="18" spans="1:9">
      <c r="A18" t="str">
        <f>SUBSTITUTE(SUBSTITUTE(Example1!A18,"www.",""),".com","")</f>
        <v>betterworks</v>
      </c>
      <c r="B18" t="str" cm="1">
        <f t="array" ref="B18">SLOOKUP(A18,H:H,H:H,0.6,0)</f>
        <v>Betterworks</v>
      </c>
      <c r="C18" s="3" cm="1">
        <f t="array" ref="C18">IF(B18&lt;&gt;"",SimpleSim(A18,B18),"")</f>
        <v>1</v>
      </c>
      <c r="D18" s="3"/>
      <c r="E18" t="str" cm="1">
        <f t="array" ref="E18">LLOOKUP(A18,H:H,H:H,0.6,0)</f>
        <v>Betterworks</v>
      </c>
      <c r="F18" s="3" cm="1">
        <f t="array" ref="F18">IF(E18&lt;&gt;"",LevenshteinSimilarity(A18,E18),"")</f>
        <v>1</v>
      </c>
      <c r="G18" s="3"/>
      <c r="H18" t="s">
        <v>31</v>
      </c>
      <c r="I18">
        <v>94025</v>
      </c>
    </row>
    <row r="19" spans="1:9">
      <c r="A19" t="str">
        <f>SUBSTITUTE(SUBSTITUTE(Example1!A19,"www.",""),".com","")</f>
        <v>bluevine</v>
      </c>
      <c r="B19" t="str" cm="1">
        <f t="array" ref="B19">SLOOKUP(A19,H:H,H:H,0.6,0)</f>
        <v>BlueVine</v>
      </c>
      <c r="C19" s="3" cm="1">
        <f t="array" ref="C19">IF(B19&lt;&gt;"",SimpleSim(A19,B19),"")</f>
        <v>1</v>
      </c>
      <c r="D19" s="3"/>
      <c r="E19" t="str" cm="1">
        <f t="array" ref="E19">LLOOKUP(A19,H:H,H:H,0.6,0)</f>
        <v>BlueVine</v>
      </c>
      <c r="F19" s="3" cm="1">
        <f t="array" ref="F19">IF(E19&lt;&gt;"",LevenshteinSimilarity(A19,E19),"")</f>
        <v>1</v>
      </c>
      <c r="G19" s="3"/>
      <c r="H19" t="s">
        <v>32</v>
      </c>
      <c r="I19">
        <v>94063</v>
      </c>
    </row>
    <row r="20" spans="1:9">
      <c r="A20" t="str">
        <f>SUBSTITUTE(SUBSTITUTE(Example1!A20,"www.",""),".com","")</f>
        <v>box</v>
      </c>
      <c r="B20" t="str" cm="1">
        <f t="array" ref="B20">SLOOKUP(A20,H:H,H:H,0.6,0)</f>
        <v>Box</v>
      </c>
      <c r="C20" s="3" cm="1">
        <f t="array" ref="C20">IF(B20&lt;&gt;"",SimpleSim(A20,B20),"")</f>
        <v>1</v>
      </c>
      <c r="D20" s="3"/>
      <c r="E20" t="str" cm="1">
        <f t="array" ref="E20">LLOOKUP(A20,H:H,H:H,0.6,0)</f>
        <v>Box</v>
      </c>
      <c r="F20" s="3" cm="1">
        <f t="array" ref="F20">IF(E20&lt;&gt;"",LevenshteinSimilarity(A20,E20),"")</f>
        <v>1</v>
      </c>
      <c r="G20" s="3"/>
      <c r="H20" t="s">
        <v>33</v>
      </c>
      <c r="I20">
        <v>95014</v>
      </c>
    </row>
    <row r="21" spans="1:9">
      <c r="A21" t="str">
        <f>SUBSTITUTE(SUBSTITUTE(Example1!A21,"www.",""),".com","")</f>
        <v>branch.io</v>
      </c>
      <c r="B21" t="str" cm="1">
        <f t="array" ref="B21">SLOOKUP(A21,H:H,H:H,0.6,0)</f>
        <v>Branch</v>
      </c>
      <c r="C21" s="3" cm="1">
        <f t="array" ref="C21">IF(B21&lt;&gt;"",SimpleSim(A21,B21),"")</f>
        <v>0.66666666666666663</v>
      </c>
      <c r="D21" s="3"/>
      <c r="E21" t="str" cm="1">
        <f t="array" ref="E21">LLOOKUP(A21,H:H,H:H,0.6,0)</f>
        <v>Branch</v>
      </c>
      <c r="F21" s="3" cm="1">
        <f t="array" ref="F21">IF(E21&lt;&gt;"",LevenshteinSimilarity(A21,E21),"")</f>
        <v>0.66666666666666663</v>
      </c>
      <c r="G21" s="3"/>
      <c r="H21" t="s">
        <v>34</v>
      </c>
      <c r="I21">
        <v>94404</v>
      </c>
    </row>
    <row r="22" spans="1:9">
      <c r="A22" t="str">
        <f>SUBSTITUTE(SUBSTITUTE(Example1!A22,"www.",""),".com","")</f>
        <v>c3.ai</v>
      </c>
      <c r="B22" t="str" cm="1">
        <f t="array" ref="B22">SLOOKUP(A22,H:H,H:H,0.6,0)</f>
        <v/>
      </c>
      <c r="C22" s="3" t="str" cm="1">
        <f t="array" ref="C22">IF(B22&lt;&gt;"",SimpleSim(A22,B22),"")</f>
        <v/>
      </c>
      <c r="D22" s="3"/>
      <c r="E22" t="str" cm="1">
        <f t="array" ref="E22">LLOOKUP(A22,H:H,H:H,0.6,0)</f>
        <v/>
      </c>
      <c r="F22" s="3" t="str" cm="1">
        <f t="array" ref="F22">IF(E22&lt;&gt;"",LevenshteinSimilarity(A22,E22),"")</f>
        <v/>
      </c>
      <c r="G22" s="3"/>
      <c r="H22" t="s">
        <v>35</v>
      </c>
      <c r="I22">
        <v>95054</v>
      </c>
    </row>
    <row r="23" spans="1:9">
      <c r="A23" t="str">
        <f>SUBSTITUTE(SUBSTITUTE(Example1!A23,"www.",""),".com","")</f>
        <v>carbon3d</v>
      </c>
      <c r="B23" t="str" cm="1">
        <f t="array" ref="B23">SLOOKUP(A23,H:H,H:H,0.6,0)</f>
        <v>Carbon</v>
      </c>
      <c r="C23" s="3" cm="1">
        <f t="array" ref="C23">IF(B23&lt;&gt;"",SimpleSim(A23,B23),"")</f>
        <v>0.75</v>
      </c>
      <c r="D23" s="3"/>
      <c r="E23" t="str" cm="1">
        <f t="array" ref="E23">LLOOKUP(A23,H:H,H:H,0.6,0)</f>
        <v>Carbon</v>
      </c>
      <c r="F23" s="3" cm="1">
        <f t="array" ref="F23">IF(E23&lt;&gt;"",LevenshteinSimilarity(A23,E23),"")</f>
        <v>0.75</v>
      </c>
      <c r="G23" s="3"/>
      <c r="H23" t="s">
        <v>36</v>
      </c>
      <c r="I23">
        <v>94401</v>
      </c>
    </row>
    <row r="24" spans="1:9">
      <c r="A24" t="str">
        <f>SUBSTITUTE(SUBSTITUTE(Example1!A24,"www.",""),".com","")</f>
        <v>carta</v>
      </c>
      <c r="B24" t="str" cm="1">
        <f t="array" ref="B24">SLOOKUP(A24,H:H,H:H,0.6,0)</f>
        <v>Carta</v>
      </c>
      <c r="C24" s="3" cm="1">
        <f t="array" ref="C24">IF(B24&lt;&gt;"",SimpleSim(A24,B24),"")</f>
        <v>1</v>
      </c>
      <c r="D24" s="3"/>
      <c r="E24" t="str" cm="1">
        <f t="array" ref="E24">LLOOKUP(A24,H:H,H:H,0.6,0)</f>
        <v>Carta</v>
      </c>
      <c r="F24" s="3" cm="1">
        <f t="array" ref="F24">IF(E24&lt;&gt;"",LevenshteinSimilarity(A24,E24),"")</f>
        <v>1</v>
      </c>
      <c r="G24" s="3"/>
      <c r="H24" t="s">
        <v>37</v>
      </c>
    </row>
    <row r="25" spans="1:9">
      <c r="A25" t="str">
        <f>SUBSTITUTE(SUBSTITUTE(Example1!A25,"www.",""),".com","")</f>
        <v>ciphercloud</v>
      </c>
      <c r="B25" t="str" cm="1">
        <f t="array" ref="B25">SLOOKUP(A25,H:H,H:H,0.6,0)</f>
        <v>CipherCloud</v>
      </c>
      <c r="C25" s="3" cm="1">
        <f t="array" ref="C25">IF(B25&lt;&gt;"",SimpleSim(A25,B25),"")</f>
        <v>1</v>
      </c>
      <c r="D25" s="3"/>
      <c r="E25" t="str" cm="1">
        <f t="array" ref="E25">LLOOKUP(A25,H:H,H:H,0.6,0)</f>
        <v>CipherCloud</v>
      </c>
      <c r="F25" s="3" cm="1">
        <f t="array" ref="F25">IF(E25&lt;&gt;"",LevenshteinSimilarity(A25,E25),"")</f>
        <v>1</v>
      </c>
      <c r="G25" s="3"/>
      <c r="H25" t="s">
        <v>38</v>
      </c>
      <c r="I25">
        <v>94538</v>
      </c>
    </row>
    <row r="26" spans="1:9">
      <c r="A26" t="str">
        <f>SUBSTITUTE(SUBSTITUTE(Example1!A26,"www.",""),".com","")</f>
        <v>cisco</v>
      </c>
      <c r="B26" t="str" cm="1">
        <f t="array" ref="B26">SLOOKUP(A26,H:H,H:H,0.6,0)</f>
        <v>Cisco</v>
      </c>
      <c r="C26" s="3" cm="1">
        <f t="array" ref="C26">IF(B26&lt;&gt;"",SimpleSim(A26,B26),"")</f>
        <v>1</v>
      </c>
      <c r="D26" s="3"/>
      <c r="E26" t="str" cm="1">
        <f t="array" ref="E26">LLOOKUP(A26,H:H,H:H,0.6,0)</f>
        <v>Cisco</v>
      </c>
      <c r="F26" s="3" cm="1">
        <f t="array" ref="F26">IF(E26&lt;&gt;"",LevenshteinSimilarity(A26,E26),"")</f>
        <v>1</v>
      </c>
      <c r="G26" s="3"/>
      <c r="H26" t="s">
        <v>39</v>
      </c>
      <c r="I26">
        <v>94063</v>
      </c>
    </row>
    <row r="27" spans="1:9">
      <c r="A27" t="str">
        <f>SUBSTITUTE(SUBSTITUTE(Example1!A27,"www.",""),".com","")</f>
        <v>clover</v>
      </c>
      <c r="B27" t="str" cm="1">
        <f t="array" ref="B27">SLOOKUP(A27,H:H,H:H,0.6,0)</f>
        <v>Clover Network</v>
      </c>
      <c r="C27" s="3" cm="1">
        <f t="array" ref="C27">IF(B27&lt;&gt;"",SimpleSim(A27,B27),"")</f>
        <v>1</v>
      </c>
      <c r="D27" s="3"/>
      <c r="E27" t="str" cm="1">
        <f t="array" ref="E27">LLOOKUP(A27,H:H,H:H,0.6,0)</f>
        <v/>
      </c>
      <c r="F27" s="3" t="str" cm="1">
        <f t="array" ref="F27">IF(E27&lt;&gt;"",LevenshteinSimilarity(A27,E27),"")</f>
        <v/>
      </c>
      <c r="G27" s="3"/>
      <c r="H27" t="s">
        <v>40</v>
      </c>
      <c r="I27">
        <v>94089</v>
      </c>
    </row>
    <row r="28" spans="1:9">
      <c r="A28" t="str">
        <f>SUBSTITUTE(SUBSTITUTE(Example1!A28,"www.",""),".com","")</f>
        <v>codexis</v>
      </c>
      <c r="B28" t="str" cm="1">
        <f t="array" ref="B28">SLOOKUP(A28,H:H,H:H,0.6,0)</f>
        <v>Codexis</v>
      </c>
      <c r="C28" s="3" cm="1">
        <f t="array" ref="C28">IF(B28&lt;&gt;"",SimpleSim(A28,B28),"")</f>
        <v>1</v>
      </c>
      <c r="D28" s="3"/>
      <c r="E28" t="str" cm="1">
        <f t="array" ref="E28">LLOOKUP(A28,H:H,H:H,0.6,0)</f>
        <v>Codexis</v>
      </c>
      <c r="F28" s="3" cm="1">
        <f t="array" ref="F28">IF(E28&lt;&gt;"",LevenshteinSimilarity(A28,E28),"")</f>
        <v>1</v>
      </c>
      <c r="G28" s="3"/>
      <c r="H28" t="s">
        <v>41</v>
      </c>
      <c r="I28">
        <v>95008</v>
      </c>
    </row>
    <row r="29" spans="1:9">
      <c r="A29" t="str">
        <f>SUBSTITUTE(SUBSTITUTE(Example1!A29,"www.",""),".com","")</f>
        <v>colortokens</v>
      </c>
      <c r="B29" t="str" cm="1">
        <f t="array" ref="B29">SLOOKUP(A29,H:H,H:H,0.6,0)</f>
        <v>ColorTokens</v>
      </c>
      <c r="C29" s="3" cm="1">
        <f t="array" ref="C29">IF(B29&lt;&gt;"",SimpleSim(A29,B29),"")</f>
        <v>1</v>
      </c>
      <c r="D29" s="3"/>
      <c r="E29" t="str" cm="1">
        <f t="array" ref="E29">LLOOKUP(A29,H:H,H:H,0.6,0)</f>
        <v>ColorTokens</v>
      </c>
      <c r="F29" s="3" cm="1">
        <f t="array" ref="F29">IF(E29&lt;&gt;"",LevenshteinSimilarity(A29,E29),"")</f>
        <v>1</v>
      </c>
      <c r="G29" s="3"/>
      <c r="H29" t="s">
        <v>42</v>
      </c>
      <c r="I29">
        <v>94025</v>
      </c>
    </row>
    <row r="30" spans="1:9">
      <c r="A30" t="str">
        <f>SUBSTITUTE(SUBSTITUTE(Example1!A30,"www.",""),".com","")</f>
        <v>commongenius</v>
      </c>
      <c r="B30" t="str" cm="1">
        <f t="array" ref="B30">SLOOKUP(A30,H:H,H:H,0.6,0)</f>
        <v>CommonGenius</v>
      </c>
      <c r="C30" s="3" cm="1">
        <f t="array" ref="C30">IF(B30&lt;&gt;"",SimpleSim(A30,B30),"")</f>
        <v>1</v>
      </c>
      <c r="D30" s="3"/>
      <c r="E30" t="str" cm="1">
        <f t="array" ref="E30">LLOOKUP(A30,H:H,H:H,0.6,0)</f>
        <v>CommonGenius</v>
      </c>
      <c r="F30" s="3" cm="1">
        <f t="array" ref="F30">IF(E30&lt;&gt;"",LevenshteinSimilarity(A30,E30),"")</f>
        <v>1</v>
      </c>
      <c r="G30" s="3"/>
      <c r="H30" t="s">
        <v>43</v>
      </c>
      <c r="I30">
        <v>94403</v>
      </c>
    </row>
    <row r="31" spans="1:9">
      <c r="A31" t="str">
        <f>SUBSTITUTE(SUBSTITUTE(Example1!A31,"www.",""),".com","")</f>
        <v>confidentcannabis</v>
      </c>
      <c r="B31" t="str" cm="1">
        <f t="array" ref="B31">SLOOKUP(A31,H:H,H:H,0.6,0)</f>
        <v>Confident Cannabis</v>
      </c>
      <c r="C31" s="3" cm="1">
        <f t="array" ref="C31">IF(B31&lt;&gt;"",SimpleSim(A31,B31),"")</f>
        <v>0.97058823529411764</v>
      </c>
      <c r="D31" s="3"/>
      <c r="E31" t="str" cm="1">
        <f t="array" ref="E31">LLOOKUP(A31,H:H,H:H,0.6,0)</f>
        <v>Confident Cannabis</v>
      </c>
      <c r="F31" s="3" cm="1">
        <f t="array" ref="F31">IF(E31&lt;&gt;"",LevenshteinSimilarity(A31,E31),"")</f>
        <v>0.94117647058823528</v>
      </c>
      <c r="G31" s="3"/>
      <c r="H31" t="s">
        <v>44</v>
      </c>
      <c r="I31">
        <v>94063</v>
      </c>
    </row>
    <row r="32" spans="1:9">
      <c r="A32" t="str">
        <f>SUBSTITUTE(SUBSTITUTE(Example1!A32,"www.",""),".com","")</f>
        <v>cradlepoint</v>
      </c>
      <c r="B32" t="str" cm="1">
        <f t="array" ref="B32">SLOOKUP(A32,H:H,H:H,0.6,0)</f>
        <v>Cradlepoint</v>
      </c>
      <c r="C32" s="3" cm="1">
        <f t="array" ref="C32">IF(B32&lt;&gt;"",SimpleSim(A32,B32),"")</f>
        <v>1</v>
      </c>
      <c r="D32" s="3"/>
      <c r="E32" t="str" cm="1">
        <f t="array" ref="E32">LLOOKUP(A32,H:H,H:H,0.6,0)</f>
        <v>Cradlepoint</v>
      </c>
      <c r="F32" s="3" cm="1">
        <f t="array" ref="F32">IF(E32&lt;&gt;"",LevenshteinSimilarity(A32,E32),"")</f>
        <v>1</v>
      </c>
      <c r="G32" s="3"/>
      <c r="H32" t="s">
        <v>45</v>
      </c>
      <c r="I32">
        <v>94085</v>
      </c>
    </row>
    <row r="33" spans="1:9">
      <c r="A33" t="str">
        <f>SUBSTITUTE(SUBSTITUTE(Example1!A33,"www.",""),".com","")</f>
        <v>crossoverhub</v>
      </c>
      <c r="B33" t="str" cm="1">
        <f t="array" ref="B33">SLOOKUP(A33,H:H,H:H,0.6,0)</f>
        <v>Crossover Hub</v>
      </c>
      <c r="C33" s="3" cm="1">
        <f t="array" ref="C33">IF(B33&lt;&gt;"",SimpleSim(A33,B33),"")</f>
        <v>0.95833333333333337</v>
      </c>
      <c r="D33" s="3"/>
      <c r="E33" t="str" cm="1">
        <f t="array" ref="E33">LLOOKUP(A33,H:H,H:H,0.6,0)</f>
        <v>Crossover Hub</v>
      </c>
      <c r="F33" s="3" cm="1">
        <f t="array" ref="F33">IF(E33&lt;&gt;"",LevenshteinSimilarity(A33,E33),"")</f>
        <v>0.91666666666666663</v>
      </c>
      <c r="G33" s="3"/>
      <c r="H33" t="s">
        <v>46</v>
      </c>
      <c r="I33">
        <v>94043</v>
      </c>
    </row>
    <row r="34" spans="1:9">
      <c r="A34" t="str">
        <f>SUBSTITUTE(SUBSTITUTE(Example1!A34,"www.",""),".com","")</f>
        <v>datastax</v>
      </c>
      <c r="B34" t="str" cm="1">
        <f t="array" ref="B34">SLOOKUP(A34,H:H,H:H,0.6,0)</f>
        <v>DataStax</v>
      </c>
      <c r="C34" s="3" cm="1">
        <f t="array" ref="C34">IF(B34&lt;&gt;"",SimpleSim(A34,B34),"")</f>
        <v>1</v>
      </c>
      <c r="D34" s="3"/>
      <c r="E34" t="str" cm="1">
        <f t="array" ref="E34">LLOOKUP(A34,H:H,H:H,0.6,0)</f>
        <v>DataStax</v>
      </c>
      <c r="F34" s="3" cm="1">
        <f t="array" ref="F34">IF(E34&lt;&gt;"",LevenshteinSimilarity(A34,E34),"")</f>
        <v>1</v>
      </c>
      <c r="G34" s="3"/>
      <c r="H34" t="s">
        <v>47</v>
      </c>
      <c r="I34">
        <v>94063</v>
      </c>
    </row>
    <row r="35" spans="1:9">
      <c r="A35" t="str">
        <f>SUBSTITUTE(SUBSTITUTE(Example1!A35,"www.",""),".com","")</f>
        <v>datavisor</v>
      </c>
      <c r="B35" t="str" cm="1">
        <f t="array" ref="B35">SLOOKUP(A35,H:H,H:H,0.6,0)</f>
        <v>Datavisor</v>
      </c>
      <c r="C35" s="3" cm="1">
        <f t="array" ref="C35">IF(B35&lt;&gt;"",SimpleSim(A35,B35),"")</f>
        <v>1</v>
      </c>
      <c r="D35" s="3"/>
      <c r="E35" t="str" cm="1">
        <f t="array" ref="E35">LLOOKUP(A35,H:H,H:H,0.6,0)</f>
        <v>Datavisor</v>
      </c>
      <c r="F35" s="3" cm="1">
        <f t="array" ref="F35">IF(E35&lt;&gt;"",LevenshteinSimilarity(A35,E35),"")</f>
        <v>1</v>
      </c>
      <c r="G35" s="3"/>
      <c r="H35" t="s">
        <v>48</v>
      </c>
      <c r="I35">
        <v>94063</v>
      </c>
    </row>
    <row r="36" spans="1:9">
      <c r="A36" t="str">
        <f>SUBSTITUTE(SUBSTITUTE(Example1!A36,"www.",""),".com","")</f>
        <v>datrium</v>
      </c>
      <c r="B36" t="str" cm="1">
        <f t="array" ref="B36">SLOOKUP(A36,H:H,H:H,0.6,0)</f>
        <v>Datrium</v>
      </c>
      <c r="C36" s="3" cm="1">
        <f t="array" ref="C36">IF(B36&lt;&gt;"",SimpleSim(A36,B36),"")</f>
        <v>1</v>
      </c>
      <c r="D36" s="3"/>
      <c r="E36" t="str" cm="1">
        <f t="array" ref="E36">LLOOKUP(A36,H:H,H:H,0.6,0)</f>
        <v>Datrium</v>
      </c>
      <c r="F36" s="3" cm="1">
        <f t="array" ref="F36">IF(E36&lt;&gt;"",LevenshteinSimilarity(A36,E36),"")</f>
        <v>1</v>
      </c>
      <c r="G36" s="3"/>
      <c r="H36" t="s">
        <v>49</v>
      </c>
      <c r="I36">
        <v>94063</v>
      </c>
    </row>
    <row r="37" spans="1:9">
      <c r="A37" t="str">
        <f>SUBSTITUTE(SUBSTITUTE(Example1!A37,"www.",""),".com","")</f>
        <v>delphix</v>
      </c>
      <c r="B37" t="str" cm="1">
        <f t="array" ref="B37">SLOOKUP(A37,H:H,H:H,0.6,0)</f>
        <v>Delphix</v>
      </c>
      <c r="C37" s="3" cm="1">
        <f t="array" ref="C37">IF(B37&lt;&gt;"",SimpleSim(A37,B37),"")</f>
        <v>1</v>
      </c>
      <c r="D37" s="3"/>
      <c r="E37" t="str" cm="1">
        <f t="array" ref="E37">LLOOKUP(A37,H:H,H:H,0.6,0)</f>
        <v>Delphix</v>
      </c>
      <c r="F37" s="3" cm="1">
        <f t="array" ref="F37">IF(E37&lt;&gt;"",LevenshteinSimilarity(A37,E37),"")</f>
        <v>1</v>
      </c>
      <c r="H37" t="s">
        <v>50</v>
      </c>
      <c r="I37">
        <v>94025</v>
      </c>
    </row>
    <row r="38" spans="1:9">
      <c r="A38" t="str">
        <f>SUBSTITUTE(SUBSTITUTE(Example1!A38,"www.",""),".com","")</f>
        <v>didi-labs</v>
      </c>
      <c r="B38" t="str" cm="1">
        <f t="array" ref="B38">SLOOKUP(A38,H:H,H:H,0.6,0)</f>
        <v>DiDi Labs</v>
      </c>
      <c r="C38" s="3" cm="1">
        <f t="array" ref="C38">IF(B38&lt;&gt;"",SimpleSim(A38,B38),"")</f>
        <v>1</v>
      </c>
      <c r="D38" s="3"/>
      <c r="E38" t="str" cm="1">
        <f t="array" ref="E38">LLOOKUP(A38,H:H,H:H,0.6,0)</f>
        <v>DiDi Labs</v>
      </c>
      <c r="F38" s="3" cm="1">
        <f t="array" ref="F38">IF(E38&lt;&gt;"",LevenshteinSimilarity(A38,E38),"")</f>
        <v>1</v>
      </c>
      <c r="H38" t="s">
        <v>51</v>
      </c>
      <c r="I38">
        <v>95054</v>
      </c>
    </row>
    <row r="39" spans="1:9">
      <c r="A39" t="str">
        <f>SUBSTITUTE(SUBSTITUTE(Example1!A39,"www.",""),".com","")</f>
        <v>dnanexusconnect</v>
      </c>
      <c r="B39" t="str" cm="1">
        <f t="array" ref="B39">SLOOKUP(A39,H:H,H:H,0.6,0)</f>
        <v>DNAnexus</v>
      </c>
      <c r="C39" s="3" cm="1">
        <f t="array" ref="C39">IF(B39&lt;&gt;"",SimpleSim(A39,B39),"")</f>
        <v>0.66666666666666663</v>
      </c>
      <c r="D39" s="3"/>
      <c r="E39" t="str" cm="1">
        <f t="array" ref="E39">LLOOKUP(A39,H:H,H:H,0.6,0)</f>
        <v/>
      </c>
      <c r="F39" s="3" t="str" cm="1">
        <f t="array" ref="F39">IF(E39&lt;&gt;"",LevenshteinSimilarity(A39,E39),"")</f>
        <v/>
      </c>
      <c r="H39" t="s">
        <v>52</v>
      </c>
      <c r="I39">
        <v>95131</v>
      </c>
    </row>
    <row r="40" spans="1:9">
      <c r="A40" t="str">
        <f>SUBSTITUTE(SUBSTITUTE(Example1!A40,"www.",""),".com","")</f>
        <v>dokkio</v>
      </c>
      <c r="B40" t="str" cm="1">
        <f t="array" ref="B40">SLOOKUP(A40,H:H,H:H,0.6,0)</f>
        <v>Dokkio</v>
      </c>
      <c r="C40" s="3" cm="1">
        <f t="array" ref="C40">IF(B40&lt;&gt;"",SimpleSim(A40,B40),"")</f>
        <v>1</v>
      </c>
      <c r="D40" s="3"/>
      <c r="E40" t="str" cm="1">
        <f t="array" ref="E40">LLOOKUP(A40,H:H,H:H,0.6,0)</f>
        <v>Dokkio</v>
      </c>
      <c r="F40" s="3" cm="1">
        <f t="array" ref="F40">IF(E40&lt;&gt;"",LevenshteinSimilarity(A40,E40),"")</f>
        <v>1</v>
      </c>
      <c r="H40" t="s">
        <v>53</v>
      </c>
      <c r="I40">
        <v>94063</v>
      </c>
    </row>
    <row r="41" spans="1:9">
      <c r="A41" t="str">
        <f>SUBSTITUTE(SUBSTITUTE(Example1!A41,"www.",""),".com","")</f>
        <v>ea</v>
      </c>
      <c r="B41" t="str" cm="1">
        <f t="array" ref="B41">SLOOKUP(A41,H:H,H:H,0.6,0)</f>
        <v>eBay</v>
      </c>
      <c r="C41" s="3" cm="1">
        <f t="array" ref="C41">IF(B41&lt;&gt;"",SimpleSim(A41,B41),"")</f>
        <v>0.75</v>
      </c>
      <c r="D41" s="3"/>
      <c r="E41" t="str" cm="1">
        <f t="array" ref="E41">LLOOKUP(A41,H:H,H:H,0.6,0)</f>
        <v/>
      </c>
      <c r="F41" s="3" t="str" cm="1">
        <f t="array" ref="F41">IF(E41&lt;&gt;"",LevenshteinSimilarity(A41,E41),"")</f>
        <v/>
      </c>
      <c r="H41" t="s">
        <v>54</v>
      </c>
      <c r="I41">
        <v>95134</v>
      </c>
    </row>
    <row r="42" spans="1:9">
      <c r="A42" t="str">
        <f>SUBSTITUTE(SUBSTITUTE(Example1!A42,"www.",""),".com","")</f>
        <v>egnyte</v>
      </c>
      <c r="B42" t="str" cm="1">
        <f t="array" ref="B42">SLOOKUP(A42,H:H,H:H,0.6,0)</f>
        <v>Egnyte</v>
      </c>
      <c r="C42" s="3" cm="1">
        <f t="array" ref="C42">IF(B42&lt;&gt;"",SimpleSim(A42,B42),"")</f>
        <v>1</v>
      </c>
      <c r="D42" s="3"/>
      <c r="E42" t="str" cm="1">
        <f t="array" ref="E42">LLOOKUP(A42,H:H,H:H,0.6,0)</f>
        <v>Egnyte</v>
      </c>
      <c r="F42" s="3" cm="1">
        <f t="array" ref="F42">IF(E42&lt;&gt;"",LevenshteinSimilarity(A42,E42),"")</f>
        <v>1</v>
      </c>
      <c r="H42" t="s">
        <v>55</v>
      </c>
      <c r="I42">
        <v>94025</v>
      </c>
    </row>
    <row r="43" spans="1:9">
      <c r="A43" t="str">
        <f>SUBSTITUTE(SUBSTITUTE(Example1!A43,"www.",""),".com","")</f>
        <v>elastic.co</v>
      </c>
      <c r="B43" t="str" cm="1">
        <f t="array" ref="B43">SLOOKUP(A43,H:H,H:H,0.6,0)</f>
        <v>Elastic</v>
      </c>
      <c r="C43" s="3" cm="1">
        <f t="array" ref="C43">IF(B43&lt;&gt;"",SimpleSim(A43,B43),"")</f>
        <v>0.7142857142857143</v>
      </c>
      <c r="D43" s="3"/>
      <c r="E43" t="str" cm="1">
        <f t="array" ref="E43">LLOOKUP(A43,H:H,H:H,0.6,0)</f>
        <v>Elastic</v>
      </c>
      <c r="F43" s="3" cm="1">
        <f t="array" ref="F43">IF(E43&lt;&gt;"",LevenshteinSimilarity(A43,E43),"")</f>
        <v>0.7</v>
      </c>
      <c r="H43" t="s">
        <v>56</v>
      </c>
      <c r="I43">
        <v>94063</v>
      </c>
    </row>
    <row r="44" spans="1:9">
      <c r="A44" t="str">
        <f>SUBSTITUTE(SUBSTITUTE(Example1!A44,"www.",""),".com","")</f>
        <v>emc</v>
      </c>
      <c r="B44" t="str" cm="1">
        <f t="array" ref="B44">SLOOKUP(A44,H:H,H:H,0.6,0)</f>
        <v>EMC Data Domain</v>
      </c>
      <c r="C44" s="3" cm="1">
        <f t="array" ref="C44">IF(B44&lt;&gt;"",SimpleSim(A44,B44),"")</f>
        <v>1</v>
      </c>
      <c r="D44" s="3"/>
      <c r="E44" t="str" cm="1">
        <f t="array" ref="E44">LLOOKUP(A44,H:H,H:H,0.6,0)</f>
        <v/>
      </c>
      <c r="F44" s="3" t="str" cm="1">
        <f t="array" ref="F44">IF(E44&lt;&gt;"",LevenshteinSimilarity(A44,E44),"")</f>
        <v/>
      </c>
      <c r="H44" t="s">
        <v>57</v>
      </c>
      <c r="I44">
        <v>94306</v>
      </c>
    </row>
    <row r="45" spans="1:9">
      <c r="A45" t="str">
        <f>SUBSTITUTE(SUBSTITUTE(Example1!A45,"www.",""),".com","")</f>
        <v>equinix</v>
      </c>
      <c r="B45" t="str" cm="1">
        <f t="array" ref="B45">SLOOKUP(A45,H:H,H:H,0.6,0)</f>
        <v>Equinix</v>
      </c>
      <c r="C45" s="3" cm="1">
        <f t="array" ref="C45">IF(B45&lt;&gt;"",SimpleSim(A45,B45),"")</f>
        <v>1</v>
      </c>
      <c r="D45" s="3"/>
      <c r="E45" t="str" cm="1">
        <f t="array" ref="E45">LLOOKUP(A45,H:H,H:H,0.6,0)</f>
        <v>Equinix</v>
      </c>
      <c r="F45" s="3" cm="1">
        <f t="array" ref="F45">IF(E45&lt;&gt;"",LevenshteinSimilarity(A45,E45),"")</f>
        <v>1</v>
      </c>
      <c r="H45" t="s">
        <v>58</v>
      </c>
      <c r="I45">
        <v>94025</v>
      </c>
    </row>
    <row r="46" spans="1:9">
      <c r="A46" t="str">
        <f>SUBSTITUTE(SUBSTITUTE(Example1!A46,"www.",""),".com","")</f>
        <v>evernote</v>
      </c>
      <c r="B46" t="str" cm="1">
        <f t="array" ref="B46">SLOOKUP(A46,H:H,H:H,0.6,0)</f>
        <v>Evernote</v>
      </c>
      <c r="C46" s="3" cm="1">
        <f t="array" ref="C46">IF(B46&lt;&gt;"",SimpleSim(A46,B46),"")</f>
        <v>1</v>
      </c>
      <c r="D46" s="3"/>
      <c r="E46" t="str" cm="1">
        <f t="array" ref="E46">LLOOKUP(A46,H:H,H:H,0.6,0)</f>
        <v>Evernote</v>
      </c>
      <c r="F46" s="3" cm="1">
        <f t="array" ref="F46">IF(E46&lt;&gt;"",LevenshteinSimilarity(A46,E46),"")</f>
        <v>1</v>
      </c>
      <c r="H46" t="s">
        <v>59</v>
      </c>
      <c r="I46">
        <v>95054</v>
      </c>
    </row>
    <row r="47" spans="1:9">
      <c r="A47" t="str">
        <f>SUBSTITUTE(SUBSTITUTE(Example1!A47,"www.",""),".com","")</f>
        <v>fanatics</v>
      </c>
      <c r="B47" t="str" cm="1">
        <f t="array" ref="B47">SLOOKUP(A47,H:H,H:H,0.6,0)</f>
        <v>Fanatics</v>
      </c>
      <c r="C47" s="3" cm="1">
        <f t="array" ref="C47">IF(B47&lt;&gt;"",SimpleSim(A47,B47),"")</f>
        <v>1</v>
      </c>
      <c r="D47" s="3"/>
      <c r="E47" t="str" cm="1">
        <f t="array" ref="E47">LLOOKUP(A47,H:H,H:H,0.6,0)</f>
        <v>Fanatics</v>
      </c>
      <c r="F47" s="3" cm="1">
        <f t="array" ref="F47">IF(E47&lt;&gt;"",LevenshteinSimilarity(A47,E47),"")</f>
        <v>1</v>
      </c>
      <c r="H47" t="s">
        <v>60</v>
      </c>
      <c r="I47">
        <v>95110</v>
      </c>
    </row>
    <row r="48" spans="1:9">
      <c r="A48" t="str">
        <f>SUBSTITUTE(SUBSTITUTE(Example1!A48,"www.",""),".com","")</f>
        <v>forcepoint</v>
      </c>
      <c r="B48" t="str" cm="1">
        <f t="array" ref="B48">SLOOKUP(A48,H:H,H:H,0.6,0)</f>
        <v>Forcepoint</v>
      </c>
      <c r="C48" s="3" cm="1">
        <f t="array" ref="C48">IF(B48&lt;&gt;"",SimpleSim(A48,B48),"")</f>
        <v>1</v>
      </c>
      <c r="D48" s="3"/>
      <c r="E48" t="str" cm="1">
        <f t="array" ref="E48">LLOOKUP(A48,H:H,H:H,0.6,0)</f>
        <v>Forcepoint</v>
      </c>
      <c r="F48" s="3" cm="1">
        <f t="array" ref="F48">IF(E48&lt;&gt;"",LevenshteinSimilarity(A48,E48),"")</f>
        <v>1</v>
      </c>
      <c r="H48" t="s">
        <v>61</v>
      </c>
      <c r="I48">
        <v>95134</v>
      </c>
    </row>
    <row r="49" spans="1:9">
      <c r="A49" t="str">
        <f>SUBSTITUTE(SUBSTITUTE(Example1!A49,"www.",""),".com","")</f>
        <v>gainsight</v>
      </c>
      <c r="B49" t="str" cm="1">
        <f t="array" ref="B49">SLOOKUP(A49,H:H,H:H,0.6,0)</f>
        <v>Gainsight</v>
      </c>
      <c r="C49" s="3" cm="1">
        <f t="array" ref="C49">IF(B49&lt;&gt;"",SimpleSim(A49,B49),"")</f>
        <v>1</v>
      </c>
      <c r="D49" s="3"/>
      <c r="E49" t="str" cm="1">
        <f t="array" ref="E49">LLOOKUP(A49,H:H,H:H,0.6,0)</f>
        <v>Gainsight</v>
      </c>
      <c r="F49" s="3" cm="1">
        <f t="array" ref="F49">IF(E49&lt;&gt;"",LevenshteinSimilarity(A49,E49),"")</f>
        <v>1</v>
      </c>
      <c r="H49" t="s">
        <v>62</v>
      </c>
      <c r="I49">
        <v>95050</v>
      </c>
    </row>
    <row r="50" spans="1:9">
      <c r="A50" t="str">
        <f>SUBSTITUTE(SUBSTITUTE(Example1!A50,"www.",""),".com","")</f>
        <v>garagescript.org</v>
      </c>
      <c r="B50" t="str" cm="1">
        <f t="array" ref="B50">SLOOKUP(A50,H:H,H:H,0.6,0)</f>
        <v>GarageScript</v>
      </c>
      <c r="C50" s="3" cm="1">
        <f t="array" ref="C50">IF(B50&lt;&gt;"",SimpleSim(A50,B50),"")</f>
        <v>0.80208333333333337</v>
      </c>
      <c r="D50" s="3"/>
      <c r="E50" t="str" cm="1">
        <f t="array" ref="E50">LLOOKUP(A50,H:H,H:H,0.6,0)</f>
        <v>GarageScript</v>
      </c>
      <c r="F50" s="3" cm="1">
        <f t="array" ref="F50">IF(E50&lt;&gt;"",LevenshteinSimilarity(A50,E50),"")</f>
        <v>0.75</v>
      </c>
      <c r="H50" t="s">
        <v>63</v>
      </c>
      <c r="I50">
        <v>95110</v>
      </c>
    </row>
    <row r="51" spans="1:9">
      <c r="A51" t="str">
        <f>SUBSTITUTE(SUBSTITUTE(Example1!A51,"www.",""),".com","")</f>
        <v>genapsys</v>
      </c>
      <c r="B51" t="str" cm="1">
        <f t="array" ref="B51">SLOOKUP(A51,H:H,H:H,0.6,0)</f>
        <v>GenapSys</v>
      </c>
      <c r="C51" s="3" cm="1">
        <f t="array" ref="C51">IF(B51&lt;&gt;"",SimpleSim(A51,B51),"")</f>
        <v>1</v>
      </c>
      <c r="D51" s="3"/>
      <c r="E51" t="str" cm="1">
        <f t="array" ref="E51">LLOOKUP(A51,H:H,H:H,0.6,0)</f>
        <v>GenapSys</v>
      </c>
      <c r="F51" s="3" cm="1">
        <f t="array" ref="F51">IF(E51&lt;&gt;"",LevenshteinSimilarity(A51,E51),"")</f>
        <v>1</v>
      </c>
      <c r="H51" t="s">
        <v>64</v>
      </c>
      <c r="I51">
        <v>94085</v>
      </c>
    </row>
    <row r="52" spans="1:9">
      <c r="A52" t="str">
        <f>SUBSTITUTE(SUBSTITUTE(Example1!A52,"www.",""),".com","")</f>
        <v>genomichealth</v>
      </c>
      <c r="B52" t="str" cm="1">
        <f t="array" ref="B52">SLOOKUP(A52,H:H,H:H,0.6,0)</f>
        <v>Genomic Health</v>
      </c>
      <c r="C52" s="3" cm="1">
        <f t="array" ref="C52">IF(B52&lt;&gt;"",SimpleSim(A52,B52),"")</f>
        <v>0.96153846153846156</v>
      </c>
      <c r="D52" s="3"/>
      <c r="E52" t="str" cm="1">
        <f t="array" ref="E52">LLOOKUP(A52,H:H,H:H,0.6,0)</f>
        <v>Genomic Health</v>
      </c>
      <c r="F52" s="3" cm="1">
        <f t="array" ref="F52">IF(E52&lt;&gt;"",LevenshteinSimilarity(A52,E52),"")</f>
        <v>0.92307692307692313</v>
      </c>
      <c r="H52" t="s">
        <v>65</v>
      </c>
      <c r="I52">
        <v>94063</v>
      </c>
    </row>
    <row r="53" spans="1:9">
      <c r="A53" t="str">
        <f>SUBSTITUTE(SUBSTITUTE(Example1!A53,"www.",""),".com","")</f>
        <v>getmiles</v>
      </c>
      <c r="B53" t="str" cm="1">
        <f t="array" ref="B53">SLOOKUP(A53,H:H,H:H,0.6,0)</f>
        <v>Miles</v>
      </c>
      <c r="C53" s="3" cm="1">
        <f t="array" ref="C53">IF(B53&lt;&gt;"",SimpleSim(A53,B53),"")</f>
        <v>0.65625</v>
      </c>
      <c r="E53" t="str" cm="1">
        <f t="array" ref="E53">LLOOKUP(A53,H:H,H:H,0.6,0)</f>
        <v>Miles</v>
      </c>
      <c r="F53" s="3" cm="1">
        <f t="array" ref="F53">IF(E53&lt;&gt;"",LevenshteinSimilarity(A53,E53),"")</f>
        <v>0.625</v>
      </c>
      <c r="H53" t="s">
        <v>66</v>
      </c>
      <c r="I53">
        <v>95054</v>
      </c>
    </row>
    <row r="54" spans="1:9">
      <c r="A54" t="str">
        <f>SUBSTITUTE(SUBSTITUTE(Example1!A54,"www.",""),".com","")</f>
        <v>gigya</v>
      </c>
      <c r="B54" t="str" cm="1">
        <f t="array" ref="B54">SLOOKUP(A54,H:H,H:H,0.6,0)</f>
        <v>Gigya</v>
      </c>
      <c r="C54" s="3" cm="1">
        <f t="array" ref="C54">IF(B54&lt;&gt;"",SimpleSim(A54,B54),"")</f>
        <v>1</v>
      </c>
      <c r="E54" t="str" cm="1">
        <f t="array" ref="E54">LLOOKUP(A54,H:H,H:H,0.6,0)</f>
        <v>Gigya</v>
      </c>
      <c r="F54" s="3" cm="1">
        <f t="array" ref="F54">IF(E54&lt;&gt;"",LevenshteinSimilarity(A54,E54),"")</f>
        <v>1</v>
      </c>
      <c r="H54" t="s">
        <v>67</v>
      </c>
      <c r="I54">
        <v>94025</v>
      </c>
    </row>
    <row r="55" spans="1:9">
      <c r="A55" t="str">
        <f>SUBSTITUTE(SUBSTITUTE(Example1!A55,"www.",""),".com","")</f>
        <v>globalfoundries</v>
      </c>
      <c r="B55" t="str" cm="1">
        <f t="array" ref="B55">SLOOKUP(A55,H:H,H:H,0.6,0)</f>
        <v>Globalfoundries</v>
      </c>
      <c r="C55" s="3" cm="1">
        <f t="array" ref="C55">IF(B55&lt;&gt;"",SimpleSim(A55,B55),"")</f>
        <v>1</v>
      </c>
      <c r="E55" t="str" cm="1">
        <f t="array" ref="E55">LLOOKUP(A55,H:H,H:H,0.6,0)</f>
        <v>Globalfoundries</v>
      </c>
      <c r="F55" s="3" cm="1">
        <f t="array" ref="F55">IF(E55&lt;&gt;"",LevenshteinSimilarity(A55,E55),"")</f>
        <v>1</v>
      </c>
      <c r="H55" t="s">
        <v>68</v>
      </c>
      <c r="I55">
        <v>95113</v>
      </c>
    </row>
    <row r="56" spans="1:9">
      <c r="A56" t="str">
        <f>SUBSTITUTE(SUBSTITUTE(Example1!A56,"www.",""),".com","")</f>
        <v>go.wepay</v>
      </c>
      <c r="B56" t="str" cm="1">
        <f t="array" ref="B56">SLOOKUP(A56,H:H,H:H,0.6,0)</f>
        <v>WePay</v>
      </c>
      <c r="C56" s="3" cm="1">
        <f t="array" ref="C56">IF(B56&lt;&gt;"",SimpleSim(A56,B56),"")</f>
        <v>0.625</v>
      </c>
      <c r="E56" t="str" cm="1">
        <f t="array" ref="E56">LLOOKUP(A56,H:H,H:H,0.6,0)</f>
        <v>WePay</v>
      </c>
      <c r="F56" s="3" cm="1">
        <f t="array" ref="F56">IF(E56&lt;&gt;"",LevenshteinSimilarity(A56,E56),"")</f>
        <v>0.625</v>
      </c>
      <c r="H56" t="s">
        <v>69</v>
      </c>
    </row>
    <row r="57" spans="1:9">
      <c r="A57" t="str">
        <f>SUBSTITUTE(SUBSTITUTE(Example1!A57,"www.",""),".com","")</f>
        <v>goodrx</v>
      </c>
      <c r="B57" t="str" cm="1">
        <f t="array" ref="B57">SLOOKUP(A57,H:H,H:H,0.6,0)</f>
        <v>GoodRx</v>
      </c>
      <c r="C57" s="3" cm="1">
        <f t="array" ref="C57">IF(B57&lt;&gt;"",SimpleSim(A57,B57),"")</f>
        <v>1</v>
      </c>
      <c r="E57" t="str" cm="1">
        <f t="array" ref="E57">LLOOKUP(A57,H:H,H:H,0.6,0)</f>
        <v>GoodRx</v>
      </c>
      <c r="F57" s="3" cm="1">
        <f t="array" ref="F57">IF(E57&lt;&gt;"",LevenshteinSimilarity(A57,E57),"")</f>
        <v>1</v>
      </c>
      <c r="H57" t="s">
        <v>70</v>
      </c>
      <c r="I57">
        <v>94063</v>
      </c>
    </row>
    <row r="58" spans="1:9">
      <c r="A58" t="str">
        <f>SUBSTITUTE(SUBSTITUTE(Example1!A58,"www.",""),".com","")</f>
        <v>google</v>
      </c>
      <c r="B58" t="str" cm="1">
        <f t="array" ref="B58">SLOOKUP(A58,H:H,H:H,0.6,0)</f>
        <v>Google</v>
      </c>
      <c r="C58" s="3" cm="1">
        <f t="array" ref="C58">IF(B58&lt;&gt;"",SimpleSim(A58,B58),"")</f>
        <v>1</v>
      </c>
      <c r="E58" t="str" cm="1">
        <f t="array" ref="E58">LLOOKUP(A58,H:H,H:H,0.6,0)</f>
        <v>Google</v>
      </c>
      <c r="F58" s="3" cm="1">
        <f t="array" ref="F58">IF(E58&lt;&gt;"",LevenshteinSimilarity(A58,E58),"")</f>
        <v>1</v>
      </c>
      <c r="H58" t="s">
        <v>71</v>
      </c>
      <c r="I58">
        <v>94041</v>
      </c>
    </row>
    <row r="59" spans="1:9">
      <c r="A59" t="str">
        <f>SUBSTITUTE(SUBSTITUTE(Example1!A59,"www.",""),".com","")</f>
        <v>greenfieldlabs</v>
      </c>
      <c r="B59" t="str" cm="1">
        <f t="array" ref="B59">SLOOKUP(A59,H:H,H:H,0.6,0)</f>
        <v>Greenfield Labs</v>
      </c>
      <c r="C59" s="3" cm="1">
        <f t="array" ref="C59">IF(B59&lt;&gt;"",SimpleSim(A59,B59),"")</f>
        <v>0.9642857142857143</v>
      </c>
      <c r="E59" t="str" cm="1">
        <f t="array" ref="E59">LLOOKUP(A59,H:H,H:H,0.6,0)</f>
        <v>Greenfield Labs</v>
      </c>
      <c r="F59" s="3" cm="1">
        <f t="array" ref="F59">IF(E59&lt;&gt;"",LevenshteinSimilarity(A59,E59),"")</f>
        <v>0.9285714285714286</v>
      </c>
      <c r="H59" t="s">
        <v>72</v>
      </c>
      <c r="I59">
        <v>95032</v>
      </c>
    </row>
    <row r="60" spans="1:9">
      <c r="A60" t="str">
        <f>SUBSTITUTE(SUBSTITUTE(Example1!A60,"www.",""),".com","")</f>
        <v>greylock</v>
      </c>
      <c r="B60" t="str" cm="1">
        <f t="array" ref="B60">SLOOKUP(A60,H:H,H:H,0.6,0)</f>
        <v>Greylock Partners</v>
      </c>
      <c r="C60" s="3" cm="1">
        <f t="array" ref="C60">IF(B60&lt;&gt;"",SimpleSim(A60,B60),"")</f>
        <v>1</v>
      </c>
      <c r="E60" t="str" cm="1">
        <f t="array" ref="E60">LLOOKUP(A60,H:H,H:H,0.6,0)</f>
        <v/>
      </c>
      <c r="F60" s="3" t="str" cm="1">
        <f t="array" ref="F60">IF(E60&lt;&gt;"",LevenshteinSimilarity(A60,E60),"")</f>
        <v/>
      </c>
      <c r="H60" t="s">
        <v>73</v>
      </c>
      <c r="I60">
        <v>94538</v>
      </c>
    </row>
    <row r="61" spans="1:9">
      <c r="A61" t="str">
        <f>SUBSTITUTE(SUBSTITUTE(Example1!A61,"www.",""),".com","")</f>
        <v>groupon</v>
      </c>
      <c r="B61" t="str" cm="1">
        <f t="array" ref="B61">SLOOKUP(A61,H:H,H:H,0.6,0)</f>
        <v>Groupon</v>
      </c>
      <c r="C61" s="3" cm="1">
        <f t="array" ref="C61">IF(B61&lt;&gt;"",SimpleSim(A61,B61),"")</f>
        <v>1</v>
      </c>
      <c r="E61" t="str" cm="1">
        <f t="array" ref="E61">LLOOKUP(A61,H:H,H:H,0.6,0)</f>
        <v>Groupon</v>
      </c>
      <c r="F61" s="3" cm="1">
        <f t="array" ref="F61">IF(E61&lt;&gt;"",LevenshteinSimilarity(A61,E61),"")</f>
        <v>1</v>
      </c>
      <c r="H61" t="s">
        <v>74</v>
      </c>
      <c r="I61">
        <v>95054</v>
      </c>
    </row>
    <row r="62" spans="1:9">
      <c r="A62" t="str">
        <f>SUBSTITUTE(SUBSTITUTE(Example1!A62,"www.",""),".com","")</f>
        <v>hackerrank</v>
      </c>
      <c r="B62" t="str" cm="1">
        <f t="array" ref="B62">SLOOKUP(A62,H:H,H:H,0.6,0)</f>
        <v>HackerRank</v>
      </c>
      <c r="C62" s="3" cm="1">
        <f t="array" ref="C62">IF(B62&lt;&gt;"",SimpleSim(A62,B62),"")</f>
        <v>1</v>
      </c>
      <c r="E62" t="str" cm="1">
        <f t="array" ref="E62">LLOOKUP(A62,H:H,H:H,0.6,0)</f>
        <v>HackerRank</v>
      </c>
      <c r="F62" s="3" cm="1">
        <f t="array" ref="F62">IF(E62&lt;&gt;"",LevenshteinSimilarity(A62,E62),"")</f>
        <v>1</v>
      </c>
      <c r="H62" t="s">
        <v>75</v>
      </c>
      <c r="I62">
        <v>94043</v>
      </c>
    </row>
    <row r="63" spans="1:9">
      <c r="A63" t="str">
        <f>SUBSTITUTE(SUBSTITUTE(Example1!A63,"www.",""),".com","")</f>
        <v>harmonicinc</v>
      </c>
      <c r="B63" t="str" cm="1">
        <f t="array" ref="B63">SLOOKUP(A63,H:H,H:H,0.6,0)</f>
        <v>Harmonic</v>
      </c>
      <c r="C63" s="3" cm="1">
        <f t="array" ref="C63">IF(B63&lt;&gt;"",SimpleSim(A63,B63),"")</f>
        <v>0.83333333333333348</v>
      </c>
      <c r="E63" t="str" cm="1">
        <f t="array" ref="E63">LLOOKUP(A63,H:H,H:H,0.6,0)</f>
        <v>Harmonic</v>
      </c>
      <c r="F63" s="3" cm="1">
        <f t="array" ref="F63">IF(E63&lt;&gt;"",LevenshteinSimilarity(A63,E63),"")</f>
        <v>0.72727272727272729</v>
      </c>
      <c r="H63" t="s">
        <v>76</v>
      </c>
      <c r="I63">
        <v>94089</v>
      </c>
    </row>
    <row r="64" spans="1:9">
      <c r="A64" t="str">
        <f>SUBSTITUTE(SUBSTITUTE(Example1!A64,"www.",""),".com","")</f>
        <v>healthgorilla</v>
      </c>
      <c r="B64" t="str" cm="1">
        <f t="array" ref="B64">SLOOKUP(A64,H:H,H:H,0.6,0)</f>
        <v>Health Gorilla</v>
      </c>
      <c r="C64" s="3" cm="1">
        <f t="array" ref="C64">IF(B64&lt;&gt;"",SimpleSim(A64,B64),"")</f>
        <v>0.96153846153846156</v>
      </c>
      <c r="E64" t="str" cm="1">
        <f t="array" ref="E64">LLOOKUP(A64,H:H,H:H,0.6,0)</f>
        <v>Health Gorilla</v>
      </c>
      <c r="F64" s="3" cm="1">
        <f t="array" ref="F64">IF(E64&lt;&gt;"",LevenshteinSimilarity(A64,E64),"")</f>
        <v>0.92307692307692313</v>
      </c>
      <c r="H64" t="s">
        <v>77</v>
      </c>
      <c r="I64">
        <v>94025</v>
      </c>
    </row>
    <row r="65" spans="1:9">
      <c r="A65" t="str">
        <f>SUBSTITUTE(SUBSTITUTE(Example1!A65,"www.",""),".com","")</f>
        <v>heartflow</v>
      </c>
      <c r="B65" t="str" cm="1">
        <f t="array" ref="B65">SLOOKUP(A65,H:H,H:H,0.6,0)</f>
        <v>HeartFlow</v>
      </c>
      <c r="C65" s="3" cm="1">
        <f t="array" ref="C65">IF(B65&lt;&gt;"",SimpleSim(A65,B65),"")</f>
        <v>1</v>
      </c>
      <c r="E65" t="str" cm="1">
        <f t="array" ref="E65">LLOOKUP(A65,H:H,H:H,0.6,0)</f>
        <v>HeartFlow</v>
      </c>
      <c r="F65" s="3" cm="1">
        <f t="array" ref="F65">IF(E65&lt;&gt;"",LevenshteinSimilarity(A65,E65),"")</f>
        <v>1</v>
      </c>
      <c r="H65" t="s">
        <v>78</v>
      </c>
      <c r="I65">
        <v>94063</v>
      </c>
    </row>
    <row r="66" spans="1:9">
      <c r="A66" t="str">
        <f>SUBSTITUTE(SUBSTITUTE(Example1!A66,"www.",""),".com","")</f>
        <v>hivemapper</v>
      </c>
      <c r="B66" t="str" cm="1">
        <f t="array" ref="B66">SLOOKUP(A66,H:H,H:H,0.6,0)</f>
        <v>Hivemapper</v>
      </c>
      <c r="C66" s="3" cm="1">
        <f t="array" ref="C66">IF(B66&lt;&gt;"",SimpleSim(A66,B66),"")</f>
        <v>1</v>
      </c>
      <c r="E66" t="str" cm="1">
        <f t="array" ref="E66">LLOOKUP(A66,H:H,H:H,0.6,0)</f>
        <v>Hivemapper</v>
      </c>
      <c r="F66" s="3" cm="1">
        <f t="array" ref="F66">IF(E66&lt;&gt;"",LevenshteinSimilarity(A66,E66),"")</f>
        <v>1</v>
      </c>
      <c r="H66" t="s">
        <v>79</v>
      </c>
      <c r="I66">
        <v>94043</v>
      </c>
    </row>
    <row r="67" spans="1:9">
      <c r="A67" t="str">
        <f>SUBSTITUTE(SUBSTITUTE(Example1!A67,"www.",""),".com","")</f>
        <v>houzz</v>
      </c>
      <c r="B67" t="str" cm="1">
        <f t="array" ref="B67">SLOOKUP(A67,H:H,H:H,0.6,0)</f>
        <v>Houzz</v>
      </c>
      <c r="C67" s="3" cm="1">
        <f t="array" ref="C67">IF(B67&lt;&gt;"",SimpleSim(A67,B67),"")</f>
        <v>1</v>
      </c>
      <c r="E67" t="str" cm="1">
        <f t="array" ref="E67">LLOOKUP(A67,H:H,H:H,0.6,0)</f>
        <v>Houzz</v>
      </c>
      <c r="F67" s="3" cm="1">
        <f t="array" ref="F67">IF(E67&lt;&gt;"",LevenshteinSimilarity(A67,E67),"")</f>
        <v>1</v>
      </c>
      <c r="H67" t="s">
        <v>80</v>
      </c>
      <c r="I67">
        <v>94025</v>
      </c>
    </row>
    <row r="68" spans="1:9">
      <c r="A68" t="str">
        <f>SUBSTITUTE(SUBSTITUTE(Example1!A68,"www.",""),".com","")</f>
        <v>hp</v>
      </c>
      <c r="B68" t="str" cm="1">
        <f t="array" ref="B68">SLOOKUP(A68,H:H,H:H,0.6,0)</f>
        <v/>
      </c>
      <c r="C68" s="3" t="str" cm="1">
        <f t="array" ref="C68">IF(B68&lt;&gt;"",SimpleSim(A68,B68),"")</f>
        <v/>
      </c>
      <c r="E68" t="str" cm="1">
        <f t="array" ref="E68">LLOOKUP(A68,H:H,H:H,0.6,0)</f>
        <v/>
      </c>
      <c r="F68" s="3" t="str" cm="1">
        <f t="array" ref="F68">IF(E68&lt;&gt;"",LevenshteinSimilarity(A68,E68),"")</f>
        <v/>
      </c>
      <c r="H68" t="s">
        <v>81</v>
      </c>
      <c r="I68">
        <v>94040</v>
      </c>
    </row>
    <row r="69" spans="1:9">
      <c r="A69" t="str">
        <f>SUBSTITUTE(SUBSTITUTE(Example1!A69,"www.",""),".com","")</f>
        <v>hpe</v>
      </c>
      <c r="B69" t="str" cm="1">
        <f t="array" ref="B69">SLOOKUP(A69,H:H,H:H,0.6,0)</f>
        <v/>
      </c>
      <c r="C69" s="3" t="str" cm="1">
        <f t="array" ref="C69">IF(B69&lt;&gt;"",SimpleSim(A69,B69),"")</f>
        <v/>
      </c>
      <c r="E69" t="str" cm="1">
        <f t="array" ref="E69">LLOOKUP(A69,H:H,H:H,0.6,0)</f>
        <v/>
      </c>
      <c r="F69" s="3" t="str" cm="1">
        <f t="array" ref="F69">IF(E69&lt;&gt;"",LevenshteinSimilarity(A69,E69),"")</f>
        <v/>
      </c>
      <c r="H69" t="s">
        <v>82</v>
      </c>
      <c r="I69">
        <v>94403</v>
      </c>
    </row>
    <row r="70" spans="1:9">
      <c r="A70" t="str">
        <f>SUBSTITUTE(SUBSTITUTE(Example1!A70,"www.",""),".com","")</f>
        <v>ibm</v>
      </c>
      <c r="B70" t="str" cm="1">
        <f t="array" ref="B70">SLOOKUP(A70,H:H,H:H,0.6,0)</f>
        <v>IBM</v>
      </c>
      <c r="C70" s="3" cm="1">
        <f t="array" ref="C70">IF(B70&lt;&gt;"",SimpleSim(A70,B70),"")</f>
        <v>1</v>
      </c>
      <c r="E70" t="str" cm="1">
        <f t="array" ref="E70">LLOOKUP(A70,H:H,H:H,0.6,0)</f>
        <v>IBM</v>
      </c>
      <c r="F70" s="3" cm="1">
        <f t="array" ref="F70">IF(E70&lt;&gt;"",LevenshteinSimilarity(A70,E70),"")</f>
        <v>1</v>
      </c>
      <c r="H70" t="s">
        <v>83</v>
      </c>
      <c r="I70">
        <v>94025</v>
      </c>
    </row>
    <row r="71" spans="1:9">
      <c r="A71" t="str">
        <f>SUBSTITUTE(SUBSTITUTE(Example1!A71,"www.",""),".com","")</f>
        <v>imperva</v>
      </c>
      <c r="B71" t="str" cm="1">
        <f t="array" ref="B71">SLOOKUP(A71,H:H,H:H,0.6,0)</f>
        <v>Imperva</v>
      </c>
      <c r="C71" s="3" cm="1">
        <f t="array" ref="C71">IF(B71&lt;&gt;"",SimpleSim(A71,B71),"")</f>
        <v>1</v>
      </c>
      <c r="E71" t="str" cm="1">
        <f t="array" ref="E71">LLOOKUP(A71,H:H,H:H,0.6,0)</f>
        <v>Imperva</v>
      </c>
      <c r="F71" s="3" cm="1">
        <f t="array" ref="F71">IF(E71&lt;&gt;"",LevenshteinSimilarity(A71,E71),"")</f>
        <v>1</v>
      </c>
      <c r="H71" t="s">
        <v>84</v>
      </c>
      <c r="I71">
        <v>95125</v>
      </c>
    </row>
    <row r="72" spans="1:9">
      <c r="A72" t="str">
        <f>SUBSTITUTE(SUBSTITUTE(Example1!A72,"www.",""),".com","")</f>
        <v>incorta</v>
      </c>
      <c r="B72" t="str" cm="1">
        <f t="array" ref="B72">SLOOKUP(A72,H:H,H:H,0.6,0)</f>
        <v>Incorta</v>
      </c>
      <c r="C72" s="3" cm="1">
        <f t="array" ref="C72">IF(B72&lt;&gt;"",SimpleSim(A72,B72),"")</f>
        <v>1</v>
      </c>
      <c r="E72" t="str" cm="1">
        <f t="array" ref="E72">LLOOKUP(A72,H:H,H:H,0.6,0)</f>
        <v>Incorta</v>
      </c>
      <c r="F72" s="3" cm="1">
        <f t="array" ref="F72">IF(E72&lt;&gt;"",LevenshteinSimilarity(A72,E72),"")</f>
        <v>1</v>
      </c>
      <c r="H72" t="s">
        <v>85</v>
      </c>
      <c r="I72">
        <v>94043</v>
      </c>
    </row>
    <row r="73" spans="1:9">
      <c r="A73" t="str">
        <f>SUBSTITUTE(SUBSTITUTE(Example1!A73,"www.",""),".com","")</f>
        <v>inflection</v>
      </c>
      <c r="B73" t="str" cm="1">
        <f t="array" ref="B73">SLOOKUP(A73,H:H,H:H,0.6,0)</f>
        <v>Inflection.com</v>
      </c>
      <c r="C73" s="3" cm="1">
        <f t="array" ref="C73">IF(B73&lt;&gt;"",SimpleSim(A73,B73),"")</f>
        <v>1</v>
      </c>
      <c r="E73" t="str" cm="1">
        <f t="array" ref="E73">LLOOKUP(A73,H:H,H:H,0.6,0)</f>
        <v>Inflection.com</v>
      </c>
      <c r="F73" s="3" cm="1">
        <f t="array" ref="F73">IF(E73&lt;&gt;"",LevenshteinSimilarity(A73,E73),"")</f>
        <v>1</v>
      </c>
      <c r="H73" t="s">
        <v>86</v>
      </c>
      <c r="I73">
        <v>94040</v>
      </c>
    </row>
    <row r="74" spans="1:9">
      <c r="A74" t="str">
        <f>SUBSTITUTE(SUBSTITUTE(Example1!A74,"www.",""),".com","")</f>
        <v>infogain</v>
      </c>
      <c r="B74" t="str" cm="1">
        <f t="array" ref="B74">SLOOKUP(A74,H:H,H:H,0.6,0)</f>
        <v>Infogain</v>
      </c>
      <c r="C74" s="3" cm="1">
        <f t="array" ref="C74">IF(B74&lt;&gt;"",SimpleSim(A74,B74),"")</f>
        <v>1</v>
      </c>
      <c r="E74" t="str" cm="1">
        <f t="array" ref="E74">LLOOKUP(A74,H:H,H:H,0.6,0)</f>
        <v>Infogain</v>
      </c>
      <c r="F74" s="3" cm="1">
        <f t="array" ref="F74">IF(E74&lt;&gt;"",LevenshteinSimilarity(A74,E74),"")</f>
        <v>1</v>
      </c>
      <c r="H74" t="s">
        <v>87</v>
      </c>
      <c r="I74">
        <v>94065</v>
      </c>
    </row>
    <row r="75" spans="1:9">
      <c r="A75" t="str">
        <f>SUBSTITUTE(SUBSTITUTE(Example1!A75,"www.",""),".com","")</f>
        <v>informatica</v>
      </c>
      <c r="B75" t="str" cm="1">
        <f t="array" ref="B75">SLOOKUP(A75,H:H,H:H,0.6,0)</f>
        <v>Informatica</v>
      </c>
      <c r="C75" s="3" cm="1">
        <f t="array" ref="C75">IF(B75&lt;&gt;"",SimpleSim(A75,B75),"")</f>
        <v>1</v>
      </c>
      <c r="E75" t="str" cm="1">
        <f t="array" ref="E75">LLOOKUP(A75,H:H,H:H,0.6,0)</f>
        <v>Informatica</v>
      </c>
      <c r="F75" s="3" cm="1">
        <f t="array" ref="F75">IF(E75&lt;&gt;"",LevenshteinSimilarity(A75,E75),"")</f>
        <v>1</v>
      </c>
      <c r="H75" t="s">
        <v>88</v>
      </c>
      <c r="I75">
        <v>95054</v>
      </c>
    </row>
    <row r="76" spans="1:9">
      <c r="A76" t="str">
        <f>SUBSTITUTE(SUBSTITUTE(Example1!A76,"www.",""),".com","")</f>
        <v>intel</v>
      </c>
      <c r="B76" t="str" cm="1">
        <f t="array" ref="B76">SLOOKUP(A76,H:H,H:H,0.6,0)</f>
        <v>Intel</v>
      </c>
      <c r="C76" s="3" cm="1">
        <f t="array" ref="C76">IF(B76&lt;&gt;"",SimpleSim(A76,B76),"")</f>
        <v>1</v>
      </c>
      <c r="E76" t="str" cm="1">
        <f t="array" ref="E76">LLOOKUP(A76,H:H,H:H,0.6,0)</f>
        <v>Intel</v>
      </c>
      <c r="F76" s="3" cm="1">
        <f t="array" ref="F76">IF(E76&lt;&gt;"",LevenshteinSimilarity(A76,E76),"")</f>
        <v>1</v>
      </c>
      <c r="H76" t="s">
        <v>89</v>
      </c>
      <c r="I76">
        <v>94065</v>
      </c>
    </row>
    <row r="77" spans="1:9">
      <c r="A77" t="str">
        <f>SUBSTITUTE(SUBSTITUTE(Example1!A77,"www.",""),".com","")</f>
        <v>intelliswift</v>
      </c>
      <c r="B77" t="str" cm="1">
        <f t="array" ref="B77">SLOOKUP(A77,H:H,H:H,0.6,0)</f>
        <v>Intelliswift</v>
      </c>
      <c r="C77" s="3" cm="1">
        <f t="array" ref="C77">IF(B77&lt;&gt;"",SimpleSim(A77,B77),"")</f>
        <v>1</v>
      </c>
      <c r="E77" t="str" cm="1">
        <f t="array" ref="E77">LLOOKUP(A77,H:H,H:H,0.6,0)</f>
        <v>Intelliswift</v>
      </c>
      <c r="F77" s="3" cm="1">
        <f t="array" ref="F77">IF(E77&lt;&gt;"",LevenshteinSimilarity(A77,E77),"")</f>
        <v>1</v>
      </c>
      <c r="H77" t="s">
        <v>90</v>
      </c>
      <c r="I77">
        <v>94063</v>
      </c>
    </row>
    <row r="78" spans="1:9">
      <c r="A78" t="str">
        <f>SUBSTITUTE(SUBSTITUTE(Example1!A78,"www.",""),".com","")</f>
        <v>jasper</v>
      </c>
      <c r="B78" t="str" cm="1">
        <f t="array" ref="B78">SLOOKUP(A78,H:H,H:H,0.6,0)</f>
        <v>Jasper Wireless</v>
      </c>
      <c r="C78" s="3" cm="1">
        <f t="array" ref="C78">IF(B78&lt;&gt;"",SimpleSim(A78,B78),"")</f>
        <v>1</v>
      </c>
      <c r="E78" t="str" cm="1">
        <f t="array" ref="E78">LLOOKUP(A78,H:H,H:H,0.6,0)</f>
        <v/>
      </c>
      <c r="F78" s="3" t="str" cm="1">
        <f t="array" ref="F78">IF(E78&lt;&gt;"",LevenshteinSimilarity(A78,E78),"")</f>
        <v/>
      </c>
      <c r="H78" t="s">
        <v>91</v>
      </c>
      <c r="I78">
        <v>94025</v>
      </c>
    </row>
    <row r="79" spans="1:9">
      <c r="A79" t="str">
        <f>SUBSTITUTE(SUBSTITUTE(Example1!A79,"www.",""),".com","")</f>
        <v>jobvite</v>
      </c>
      <c r="B79" t="str" cm="1">
        <f t="array" ref="B79">SLOOKUP(A79,H:H,H:H,0.6,0)</f>
        <v>Jobvite</v>
      </c>
      <c r="C79" s="3" cm="1">
        <f t="array" ref="C79">IF(B79&lt;&gt;"",SimpleSim(A79,B79),"")</f>
        <v>1</v>
      </c>
      <c r="E79" t="str" cm="1">
        <f t="array" ref="E79">LLOOKUP(A79,H:H,H:H,0.6,0)</f>
        <v>Jobvite</v>
      </c>
      <c r="F79" s="3" cm="1">
        <f t="array" ref="F79">IF(E79&lt;&gt;"",LevenshteinSimilarity(A79,E79),"")</f>
        <v>1</v>
      </c>
      <c r="H79" t="s">
        <v>92</v>
      </c>
      <c r="I79">
        <v>94403</v>
      </c>
    </row>
    <row r="80" spans="1:9">
      <c r="A80" t="str">
        <f>SUBSTITUTE(SUBSTITUTE(Example1!A80,"www.",""),".com","")</f>
        <v>juniper.net</v>
      </c>
      <c r="B80" t="str" cm="1">
        <f t="array" ref="B80">SLOOKUP(A80,H:H,H:H,0.6,0)</f>
        <v>Juniper Networks</v>
      </c>
      <c r="C80" s="3" cm="1">
        <f t="array" ref="C80">IF(B80&lt;&gt;"",SimpleSim(A80,B80),"")</f>
        <v>1</v>
      </c>
      <c r="E80" t="str" cm="1">
        <f t="array" ref="E80">LLOOKUP(A80,H:H,H:H,0.6,0)</f>
        <v>Juniper Networks</v>
      </c>
      <c r="F80" s="3" cm="1">
        <f t="array" ref="F80">IF(E80&lt;&gt;"",LevenshteinSimilarity(A80,E80),"")</f>
        <v>1</v>
      </c>
      <c r="H80" t="s">
        <v>93</v>
      </c>
      <c r="I80">
        <v>95054</v>
      </c>
    </row>
    <row r="81" spans="1:9">
      <c r="A81" t="str">
        <f>SUBSTITUTE(SUBSTITUTE(Example1!A81,"www.",""),".com","")</f>
        <v>khoslaventures</v>
      </c>
      <c r="B81" t="str" cm="1">
        <f t="array" ref="B81">SLOOKUP(A81,H:H,H:H,0.6,0)</f>
        <v>Khosla Ventures</v>
      </c>
      <c r="C81" s="3" cm="1">
        <f t="array" ref="C81">IF(B81&lt;&gt;"",SimpleSim(A81,B81),"")</f>
        <v>0.9642857142857143</v>
      </c>
      <c r="E81" t="str" cm="1">
        <f t="array" ref="E81">LLOOKUP(A81,H:H,H:H,0.6,0)</f>
        <v>Khosla Ventures</v>
      </c>
      <c r="F81" s="3" cm="1">
        <f t="array" ref="F81">IF(E81&lt;&gt;"",LevenshteinSimilarity(A81,E81),"")</f>
        <v>0.9285714285714286</v>
      </c>
      <c r="H81" t="s">
        <v>94</v>
      </c>
      <c r="I81">
        <v>94301</v>
      </c>
    </row>
    <row r="82" spans="1:9">
      <c r="A82" t="str">
        <f>SUBSTITUTE(SUBSTITUTE(Example1!A82,"www.",""),".com","")</f>
        <v>kkr</v>
      </c>
      <c r="B82" t="str" cm="1">
        <f t="array" ref="B82">SLOOKUP(A82,H:H,H:H,0.6,0)</f>
        <v>Kohlberg Kravis Roberts</v>
      </c>
      <c r="C82" s="3" cm="1">
        <f t="array" ref="C82">IF(B82&lt;&gt;"",SimpleSim(A82,B82),"")</f>
        <v>0.70370370370370372</v>
      </c>
      <c r="E82" t="str" cm="1">
        <f t="array" ref="E82">LLOOKUP(A82,H:H,H:H,0.6,0)</f>
        <v/>
      </c>
      <c r="F82" s="3" t="str" cm="1">
        <f t="array" ref="F82">IF(E82&lt;&gt;"",LevenshteinSimilarity(A82,E82),"")</f>
        <v/>
      </c>
      <c r="H82" t="s">
        <v>95</v>
      </c>
      <c r="I82">
        <v>95032</v>
      </c>
    </row>
    <row r="83" spans="1:9">
      <c r="A83" t="str">
        <f>SUBSTITUTE(SUBSTITUTE(Example1!A83,"www.",""),".com","")</f>
        <v>lab126</v>
      </c>
      <c r="B83" t="str" cm="1">
        <f t="array" ref="B83">SLOOKUP(A83,H:H,H:H,0.6,0)</f>
        <v>Lab126</v>
      </c>
      <c r="C83" s="3" cm="1">
        <f t="array" ref="C83">IF(B83&lt;&gt;"",SimpleSim(A83,B83),"")</f>
        <v>1</v>
      </c>
      <c r="E83" t="str" cm="1">
        <f t="array" ref="E83">LLOOKUP(A83,H:H,H:H,0.6,0)</f>
        <v>Lab126</v>
      </c>
      <c r="F83" s="3" cm="1">
        <f t="array" ref="F83">IF(E83&lt;&gt;"",LevenshteinSimilarity(A83,E83),"")</f>
        <v>1</v>
      </c>
      <c r="H83" t="s">
        <v>96</v>
      </c>
      <c r="I83">
        <v>94065</v>
      </c>
    </row>
    <row r="84" spans="1:9">
      <c r="A84" t="str">
        <f>SUBSTITUTE(SUBSTITUTE(Example1!A84,"www.",""),".com","")</f>
        <v>leetcode</v>
      </c>
      <c r="B84" t="str" cm="1">
        <f t="array" ref="B84">SLOOKUP(A84,H:H,H:H,0.6,0)</f>
        <v>Leetcode</v>
      </c>
      <c r="C84" s="3" cm="1">
        <f t="array" ref="C84">IF(B84&lt;&gt;"",SimpleSim(A84,B84),"")</f>
        <v>1</v>
      </c>
      <c r="E84" t="str" cm="1">
        <f t="array" ref="E84">LLOOKUP(A84,H:H,H:H,0.6,0)</f>
        <v>Leetcode</v>
      </c>
      <c r="F84" s="3" cm="1">
        <f t="array" ref="F84">IF(E84&lt;&gt;"",LevenshteinSimilarity(A84,E84),"")</f>
        <v>1</v>
      </c>
      <c r="H84" t="s">
        <v>97</v>
      </c>
      <c r="I84">
        <v>95110</v>
      </c>
    </row>
    <row r="85" spans="1:9">
      <c r="A85" t="str">
        <f>SUBSTITUTE(SUBSTITUTE(Example1!A85,"www.",""),".com","")</f>
        <v>livongo</v>
      </c>
      <c r="B85" t="str" cm="1">
        <f t="array" ref="B85">SLOOKUP(A85,H:H,H:H,0.6,0)</f>
        <v>Livongo</v>
      </c>
      <c r="C85" s="3" cm="1">
        <f t="array" ref="C85">IF(B85&lt;&gt;"",SimpleSim(A85,B85),"")</f>
        <v>1</v>
      </c>
      <c r="E85" t="str" cm="1">
        <f t="array" ref="E85">LLOOKUP(A85,H:H,H:H,0.6,0)</f>
        <v>Livongo</v>
      </c>
      <c r="F85" s="3" cm="1">
        <f t="array" ref="F85">IF(E85&lt;&gt;"",LevenshteinSimilarity(A85,E85),"")</f>
        <v>1</v>
      </c>
      <c r="H85" t="s">
        <v>98</v>
      </c>
      <c r="I85">
        <v>94063</v>
      </c>
    </row>
    <row r="86" spans="1:9">
      <c r="A86" t="str">
        <f>SUBSTITUTE(SUBSTITUTE(Example1!A86,"www.",""),".com","")</f>
        <v>logitech</v>
      </c>
      <c r="B86" t="str" cm="1">
        <f t="array" ref="B86">SLOOKUP(A86,H:H,H:H,0.6,0)</f>
        <v>Logitech</v>
      </c>
      <c r="C86" s="3" cm="1">
        <f t="array" ref="C86">IF(B86&lt;&gt;"",SimpleSim(A86,B86),"")</f>
        <v>1</v>
      </c>
      <c r="E86" t="str" cm="1">
        <f t="array" ref="E86">LLOOKUP(A86,H:H,H:H,0.6,0)</f>
        <v>Logitech</v>
      </c>
      <c r="F86" s="3" cm="1">
        <f t="array" ref="F86">IF(E86&lt;&gt;"",LevenshteinSimilarity(A86,E86),"")</f>
        <v>1</v>
      </c>
      <c r="H86" t="s">
        <v>99</v>
      </c>
      <c r="I86">
        <v>94063</v>
      </c>
    </row>
    <row r="87" spans="1:9">
      <c r="A87" t="str">
        <f>SUBSTITUTE(SUBSTITUTE(Example1!A87,"www.",""),".com","")</f>
        <v>lohika</v>
      </c>
      <c r="B87" t="str" cm="1">
        <f t="array" ref="B87">SLOOKUP(A87,H:H,H:H,0.6,0)</f>
        <v>Lohika</v>
      </c>
      <c r="C87" s="3" cm="1">
        <f t="array" ref="C87">IF(B87&lt;&gt;"",SimpleSim(A87,B87),"")</f>
        <v>1</v>
      </c>
      <c r="E87" t="str" cm="1">
        <f t="array" ref="E87">LLOOKUP(A87,H:H,H:H,0.6,0)</f>
        <v>Lohika</v>
      </c>
      <c r="F87" s="3" cm="1">
        <f t="array" ref="F87">IF(E87&lt;&gt;"",LevenshteinSimilarity(A87,E87),"")</f>
        <v>1</v>
      </c>
      <c r="H87" t="s">
        <v>100</v>
      </c>
      <c r="I87">
        <v>94025</v>
      </c>
    </row>
    <row r="88" spans="1:9">
      <c r="A88" t="str">
        <f>SUBSTITUTE(SUBSTITUTE(Example1!A88,"www.",""),".com","")</f>
        <v>lsvp</v>
      </c>
      <c r="B88" t="str" cm="1">
        <f t="array" ref="B88">SLOOKUP(A88,H:H,H:H,0.6,0)</f>
        <v/>
      </c>
      <c r="C88" s="3" t="str" cm="1">
        <f t="array" ref="C88">IF(B88&lt;&gt;"",SimpleSim(A88,B88),"")</f>
        <v/>
      </c>
      <c r="E88" t="str" cm="1">
        <f t="array" ref="E88">LLOOKUP(A88,H:H,H:H,0.6,0)</f>
        <v/>
      </c>
      <c r="F88" s="3" t="str" cm="1">
        <f t="array" ref="F88">IF(E88&lt;&gt;"",LevenshteinSimilarity(A88,E88),"")</f>
        <v/>
      </c>
      <c r="H88" t="s">
        <v>101</v>
      </c>
      <c r="I88">
        <v>94025</v>
      </c>
    </row>
    <row r="89" spans="1:9">
      <c r="A89" t="str">
        <f>SUBSTITUTE(SUBSTITUTE(Example1!A89,"www.",""),".com","")</f>
        <v>mapr</v>
      </c>
      <c r="B89" t="str" cm="1">
        <f t="array" ref="B89">SLOOKUP(A89,H:H,H:H,0.6,0)</f>
        <v>MapR Technologies</v>
      </c>
      <c r="C89" s="3" cm="1">
        <f t="array" ref="C89">IF(B89&lt;&gt;"",SimpleSim(A89,B89),"")</f>
        <v>1</v>
      </c>
      <c r="E89" t="str" cm="1">
        <f t="array" ref="E89">LLOOKUP(A89,H:H,H:H,0.6,0)</f>
        <v/>
      </c>
      <c r="F89" s="3" t="str" cm="1">
        <f t="array" ref="F89">IF(E89&lt;&gt;"",LevenshteinSimilarity(A89,E89),"")</f>
        <v/>
      </c>
      <c r="H89" t="s">
        <v>102</v>
      </c>
      <c r="I89">
        <v>94303</v>
      </c>
    </row>
    <row r="90" spans="1:9">
      <c r="A90" t="str">
        <f>SUBSTITUTE(SUBSTITUTE(Example1!A90,"www.",""),".com","")</f>
        <v>marketo</v>
      </c>
      <c r="B90" t="str" cm="1">
        <f t="array" ref="B90">SLOOKUP(A90,H:H,H:H,0.6,0)</f>
        <v>Marketo</v>
      </c>
      <c r="C90" s="3" cm="1">
        <f t="array" ref="C90">IF(B90&lt;&gt;"",SimpleSim(A90,B90),"")</f>
        <v>1</v>
      </c>
      <c r="E90" t="str" cm="1">
        <f t="array" ref="E90">LLOOKUP(A90,H:H,H:H,0.6,0)</f>
        <v>Marketo</v>
      </c>
      <c r="F90" s="3" cm="1">
        <f t="array" ref="F90">IF(E90&lt;&gt;"",LevenshteinSimilarity(A90,E90),"")</f>
        <v>1</v>
      </c>
      <c r="H90" t="s">
        <v>103</v>
      </c>
      <c r="I90">
        <v>95054</v>
      </c>
    </row>
    <row r="91" spans="1:9">
      <c r="A91" t="str">
        <f>SUBSTITUTE(SUBSTITUTE(Example1!A91,"www.",""),".com","")</f>
        <v>marklogic</v>
      </c>
      <c r="B91" t="str" cm="1">
        <f t="array" ref="B91">SLOOKUP(A91,H:H,H:H,0.6,0)</f>
        <v>MarkLogic</v>
      </c>
      <c r="C91" s="3" cm="1">
        <f t="array" ref="C91">IF(B91&lt;&gt;"",SimpleSim(A91,B91),"")</f>
        <v>1</v>
      </c>
      <c r="E91" t="str" cm="1">
        <f t="array" ref="E91">LLOOKUP(A91,H:H,H:H,0.6,0)</f>
        <v>MarkLogic</v>
      </c>
      <c r="F91" s="3" cm="1">
        <f t="array" ref="F91">IF(E91&lt;&gt;"",LevenshteinSimilarity(A91,E91),"")</f>
        <v>1</v>
      </c>
      <c r="H91" t="s">
        <v>104</v>
      </c>
      <c r="I91">
        <v>94063</v>
      </c>
    </row>
    <row r="92" spans="1:9">
      <c r="A92" t="str">
        <f>SUBSTITUTE(SUBSTITUTE(Example1!A92,"www.",""),".com","")</f>
        <v>marvell</v>
      </c>
      <c r="B92" t="str" cm="1">
        <f t="array" ref="B92">SLOOKUP(A92,H:H,H:H,0.6,0)</f>
        <v>Marvell</v>
      </c>
      <c r="C92" s="3" cm="1">
        <f t="array" ref="C92">IF(B92&lt;&gt;"",SimpleSim(A92,B92),"")</f>
        <v>1</v>
      </c>
      <c r="E92" t="str" cm="1">
        <f t="array" ref="E92">LLOOKUP(A92,H:H,H:H,0.6,0)</f>
        <v>Marvell</v>
      </c>
      <c r="F92" s="3" cm="1">
        <f t="array" ref="F92">IF(E92&lt;&gt;"",LevenshteinSimilarity(A92,E92),"")</f>
        <v>1</v>
      </c>
      <c r="H92" t="s">
        <v>105</v>
      </c>
      <c r="I92">
        <v>94403</v>
      </c>
    </row>
    <row r="93" spans="1:9">
      <c r="A93" t="str">
        <f>SUBSTITUTE(SUBSTITUTE(Example1!A93,"www.",""),".com","")</f>
        <v>mattermost</v>
      </c>
      <c r="B93" t="str" cm="1">
        <f t="array" ref="B93">SLOOKUP(A93,H:H,H:H,0.6,0)</f>
        <v>Mattermost</v>
      </c>
      <c r="C93" s="3" cm="1">
        <f t="array" ref="C93">IF(B93&lt;&gt;"",SimpleSim(A93,B93),"")</f>
        <v>1</v>
      </c>
      <c r="E93" t="str" cm="1">
        <f t="array" ref="E93">LLOOKUP(A93,H:H,H:H,0.6,0)</f>
        <v>Mattermost</v>
      </c>
      <c r="F93" s="3" cm="1">
        <f t="array" ref="F93">IF(E93&lt;&gt;"",LevenshteinSimilarity(A93,E93),"")</f>
        <v>1</v>
      </c>
      <c r="H93" t="s">
        <v>106</v>
      </c>
      <c r="I93">
        <v>94107</v>
      </c>
    </row>
    <row r="94" spans="1:9">
      <c r="A94" t="str">
        <f>SUBSTITUTE(SUBSTITUTE(Example1!A94,"www.",""),".com","")</f>
        <v>mcafee</v>
      </c>
      <c r="B94" t="str" cm="1">
        <f t="array" ref="B94">SLOOKUP(A94,H:H,H:H,0.6,0)</f>
        <v>McAfee</v>
      </c>
      <c r="C94" s="3" cm="1">
        <f t="array" ref="C94">IF(B94&lt;&gt;"",SimpleSim(A94,B94),"")</f>
        <v>1</v>
      </c>
      <c r="E94" t="str" cm="1">
        <f t="array" ref="E94">LLOOKUP(A94,H:H,H:H,0.6,0)</f>
        <v>McAfee</v>
      </c>
      <c r="F94" s="3" cm="1">
        <f t="array" ref="F94">IF(E94&lt;&gt;"",LevenshteinSimilarity(A94,E94),"")</f>
        <v>1</v>
      </c>
      <c r="H94" t="s">
        <v>107</v>
      </c>
    </row>
    <row r="95" spans="1:9">
      <c r="A95" t="str">
        <f>SUBSTITUTE(SUBSTITUTE(Example1!A95,"www.",""),".com","")</f>
        <v>mentor</v>
      </c>
      <c r="B95" t="str" cm="1">
        <f t="array" ref="B95">SLOOKUP(A95,H:H,H:H,0.6,0)</f>
        <v>Mentor Graphics</v>
      </c>
      <c r="C95" s="3" cm="1">
        <f t="array" ref="C95">IF(B95&lt;&gt;"",SimpleSim(A95,B95),"")</f>
        <v>1</v>
      </c>
      <c r="E95" t="str" cm="1">
        <f t="array" ref="E95">LLOOKUP(A95,H:H,H:H,0.6,0)</f>
        <v/>
      </c>
      <c r="F95" s="3" t="str" cm="1">
        <f t="array" ref="F95">IF(E95&lt;&gt;"",LevenshteinSimilarity(A95,E95),"")</f>
        <v/>
      </c>
      <c r="H95" t="s">
        <v>108</v>
      </c>
      <c r="I95">
        <v>95113</v>
      </c>
    </row>
    <row r="96" spans="1:9">
      <c r="A96" t="str">
        <f>SUBSTITUTE(SUBSTITUTE(Example1!A96,"www.",""),".com","")</f>
        <v>metricstream</v>
      </c>
      <c r="B96" t="str" cm="1">
        <f t="array" ref="B96">SLOOKUP(A96,H:H,H:H,0.6,0)</f>
        <v>MetricStream</v>
      </c>
      <c r="C96" s="3" cm="1">
        <f t="array" ref="C96">IF(B96&lt;&gt;"",SimpleSim(A96,B96),"")</f>
        <v>1</v>
      </c>
      <c r="E96" t="str" cm="1">
        <f t="array" ref="E96">LLOOKUP(A96,H:H,H:H,0.6,0)</f>
        <v>MetricStream</v>
      </c>
      <c r="F96" s="3" cm="1">
        <f t="array" ref="F96">IF(E96&lt;&gt;"",LevenshteinSimilarity(A96,E96),"")</f>
        <v>1</v>
      </c>
      <c r="H96" t="s">
        <v>109</v>
      </c>
      <c r="I96">
        <v>94304</v>
      </c>
    </row>
    <row r="97" spans="1:9">
      <c r="A97" t="str">
        <f>SUBSTITUTE(SUBSTITUTE(Example1!A97,"www.",""),".com","")</f>
        <v>mindsource</v>
      </c>
      <c r="B97" t="str" cm="1">
        <f t="array" ref="B97">SLOOKUP(A97,H:H,H:H,0.6,0)</f>
        <v>Mindsource</v>
      </c>
      <c r="C97" s="3" cm="1">
        <f t="array" ref="C97">IF(B97&lt;&gt;"",SimpleSim(A97,B97),"")</f>
        <v>1</v>
      </c>
      <c r="E97" t="str" cm="1">
        <f t="array" ref="E97">LLOOKUP(A97,H:H,H:H,0.6,0)</f>
        <v>Mindsource</v>
      </c>
      <c r="F97" s="3" cm="1">
        <f t="array" ref="F97">IF(E97&lt;&gt;"",LevenshteinSimilarity(A97,E97),"")</f>
        <v>1</v>
      </c>
      <c r="H97" t="s">
        <v>110</v>
      </c>
      <c r="I97">
        <v>94025</v>
      </c>
    </row>
    <row r="98" spans="1:9">
      <c r="A98" t="str">
        <f>SUBSTITUTE(SUBSTITUTE(Example1!A98,"www.",""),".com","")</f>
        <v>modeln</v>
      </c>
      <c r="B98" t="str" cm="1">
        <f t="array" ref="B98">SLOOKUP(A98,H:H,H:H,0.6,0)</f>
        <v>Model N</v>
      </c>
      <c r="C98" s="3" cm="1">
        <f t="array" ref="C98">IF(B98&lt;&gt;"",SimpleSim(A98,B98),"")</f>
        <v>0.91666666666666663</v>
      </c>
      <c r="E98" t="str" cm="1">
        <f t="array" ref="E98">LLOOKUP(A98,H:H,H:H,0.6,0)</f>
        <v>Model N</v>
      </c>
      <c r="F98" s="3" cm="1">
        <f t="array" ref="F98">IF(E98&lt;&gt;"",LevenshteinSimilarity(A98,E98),"")</f>
        <v>0.83333333333333337</v>
      </c>
      <c r="H98" t="s">
        <v>111</v>
      </c>
      <c r="I98">
        <v>95054</v>
      </c>
    </row>
    <row r="99" spans="1:9">
      <c r="A99" t="str">
        <f>SUBSTITUTE(SUBSTITUTE(Example1!A99,"www.",""),".com","")</f>
        <v>mongodb</v>
      </c>
      <c r="B99" t="str" cm="1">
        <f t="array" ref="B99">SLOOKUP(A99,H:H,H:H,0.6,0)</f>
        <v>MongoDB</v>
      </c>
      <c r="C99" s="3" cm="1">
        <f t="array" ref="C99">IF(B99&lt;&gt;"",SimpleSim(A99,B99),"")</f>
        <v>1</v>
      </c>
      <c r="E99" t="str" cm="1">
        <f t="array" ref="E99">LLOOKUP(A99,H:H,H:H,0.6,0)</f>
        <v>MongoDB</v>
      </c>
      <c r="F99" s="3" cm="1">
        <f t="array" ref="F99">IF(E99&lt;&gt;"",LevenshteinSimilarity(A99,E99),"")</f>
        <v>1</v>
      </c>
      <c r="H99" t="s">
        <v>112</v>
      </c>
      <c r="I99">
        <v>94301</v>
      </c>
    </row>
    <row r="100" spans="1:9">
      <c r="A100" t="str">
        <f>SUBSTITUTE(SUBSTITUTE(Example1!A100,"www.",""),".com","")</f>
        <v>netapp</v>
      </c>
      <c r="B100" t="str" cm="1">
        <f t="array" ref="B100">SLOOKUP(A100,H:H,H:H,0.6,0)</f>
        <v>NetApp</v>
      </c>
      <c r="C100" s="3" cm="1">
        <f t="array" ref="C100">IF(B100&lt;&gt;"",SimpleSim(A100,B100),"")</f>
        <v>1</v>
      </c>
      <c r="E100" t="str" cm="1">
        <f t="array" ref="E100">LLOOKUP(A100,H:H,H:H,0.6,0)</f>
        <v>NetApp</v>
      </c>
      <c r="F100" s="3" cm="1">
        <f t="array" ref="F100">IF(E100&lt;&gt;"",LevenshteinSimilarity(A100,E100),"")</f>
        <v>1</v>
      </c>
      <c r="H100" t="s">
        <v>113</v>
      </c>
    </row>
    <row r="101" spans="1:9">
      <c r="A101" t="str">
        <f>SUBSTITUTE(SUBSTITUTE(Example1!A101,"www.",""),".com","")</f>
        <v>netflix</v>
      </c>
      <c r="B101" t="str" cm="1">
        <f t="array" ref="B101">SLOOKUP(A101,H:H,H:H,0.6,0)</f>
        <v>Netflix</v>
      </c>
      <c r="C101" s="3" cm="1">
        <f t="array" ref="C101">IF(B101&lt;&gt;"",SimpleSim(A101,B101),"")</f>
        <v>1</v>
      </c>
      <c r="E101" t="str" cm="1">
        <f t="array" ref="E101">LLOOKUP(A101,H:H,H:H,0.6,0)</f>
        <v>Netflix</v>
      </c>
      <c r="F101" s="3" cm="1">
        <f t="array" ref="F101">IF(E101&lt;&gt;"",LevenshteinSimilarity(A101,E101),"")</f>
        <v>1</v>
      </c>
      <c r="H101" t="s">
        <v>114</v>
      </c>
      <c r="I101">
        <v>94041</v>
      </c>
    </row>
    <row r="102" spans="1:9">
      <c r="A102" t="str">
        <f>SUBSTITUTE(SUBSTITUTE(Example1!A102,"www.",""),".com","")</f>
        <v>netspring.io</v>
      </c>
      <c r="B102" t="str" cm="1">
        <f t="array" ref="B102">SLOOKUP(A102,H:H,H:H,0.6,0)</f>
        <v>NetSpring</v>
      </c>
      <c r="C102" s="3" cm="1">
        <f t="array" ref="C102">IF(B102&lt;&gt;"",SimpleSim(A102,B102),"")</f>
        <v>0.76190476190476186</v>
      </c>
      <c r="E102" t="str" cm="1">
        <f t="array" ref="E102">LLOOKUP(A102,H:H,H:H,0.6,0)</f>
        <v>NetSpring</v>
      </c>
      <c r="F102" s="3" cm="1">
        <f t="array" ref="F102">IF(E102&lt;&gt;"",LevenshteinSimilarity(A102,E102),"")</f>
        <v>0.75</v>
      </c>
      <c r="H102" t="s">
        <v>115</v>
      </c>
      <c r="I102">
        <v>95134</v>
      </c>
    </row>
    <row r="103" spans="1:9">
      <c r="A103" t="str">
        <f>SUBSTITUTE(SUBSTITUTE(Example1!A103,"www.",""),".com","")</f>
        <v>nexgent</v>
      </c>
      <c r="B103" t="str" cm="1">
        <f t="array" ref="B103">SLOOKUP(A103,H:H,H:H,0.6,0)</f>
        <v>NexGenT</v>
      </c>
      <c r="C103" s="3" cm="1">
        <f t="array" ref="C103">IF(B103&lt;&gt;"",SimpleSim(A103,B103),"")</f>
        <v>1</v>
      </c>
      <c r="E103" t="str" cm="1">
        <f t="array" ref="E103">LLOOKUP(A103,H:H,H:H,0.6,0)</f>
        <v>NexGenT</v>
      </c>
      <c r="F103" s="3" cm="1">
        <f t="array" ref="F103">IF(E103&lt;&gt;"",LevenshteinSimilarity(A103,E103),"")</f>
        <v>1</v>
      </c>
      <c r="H103" t="s">
        <v>116</v>
      </c>
      <c r="I103">
        <v>94086</v>
      </c>
    </row>
    <row r="104" spans="1:9">
      <c r="A104" t="str">
        <f>SUBSTITUTE(SUBSTITUTE(Example1!A104,"www.",""),".com","")</f>
        <v>nuro.ai</v>
      </c>
      <c r="B104" t="str" cm="1">
        <f t="array" ref="B104">SLOOKUP(A104,H:H,H:H,0.6,0)</f>
        <v/>
      </c>
      <c r="C104" s="3" t="str" cm="1">
        <f t="array" ref="C104">IF(B104&lt;&gt;"",SimpleSim(A104,B104),"")</f>
        <v/>
      </c>
      <c r="E104" t="str" cm="1">
        <f t="array" ref="E104">LLOOKUP(A104,H:H,H:H,0.6,0)</f>
        <v/>
      </c>
      <c r="F104" s="3" t="str" cm="1">
        <f t="array" ref="F104">IF(E104&lt;&gt;"",LevenshteinSimilarity(A104,E104),"")</f>
        <v/>
      </c>
      <c r="H104" t="s">
        <v>117</v>
      </c>
      <c r="I104">
        <v>94063</v>
      </c>
    </row>
    <row r="105" spans="1:9">
      <c r="A105" t="str">
        <f>SUBSTITUTE(SUBSTITUTE(Example1!A105,"www.",""),".com","")</f>
        <v>nutanix</v>
      </c>
      <c r="B105" t="str" cm="1">
        <f t="array" ref="B105">SLOOKUP(A105,H:H,H:H,0.6,0)</f>
        <v>Nutanix</v>
      </c>
      <c r="C105" s="3" cm="1">
        <f t="array" ref="C105">IF(B105&lt;&gt;"",SimpleSim(A105,B105),"")</f>
        <v>1</v>
      </c>
      <c r="E105" t="str" cm="1">
        <f t="array" ref="E105">LLOOKUP(A105,H:H,H:H,0.6,0)</f>
        <v>Nutanix</v>
      </c>
      <c r="F105" s="3" cm="1">
        <f t="array" ref="F105">IF(E105&lt;&gt;"",LevenshteinSimilarity(A105,E105),"")</f>
        <v>1</v>
      </c>
      <c r="H105" t="s">
        <v>118</v>
      </c>
      <c r="I105">
        <v>94304</v>
      </c>
    </row>
    <row r="106" spans="1:9">
      <c r="A106" t="str">
        <f>SUBSTITUTE(SUBSTITUTE(Example1!A106,"www.",""),".com","")</f>
        <v>nvidia</v>
      </c>
      <c r="B106" t="str" cm="1">
        <f t="array" ref="B106">SLOOKUP(A106,H:H,H:H,0.6,0)</f>
        <v>NVIDIA</v>
      </c>
      <c r="C106" s="3" cm="1">
        <f t="array" ref="C106">IF(B106&lt;&gt;"",SimpleSim(A106,B106),"")</f>
        <v>1</v>
      </c>
      <c r="E106" t="str" cm="1">
        <f t="array" ref="E106">LLOOKUP(A106,H:H,H:H,0.6,0)</f>
        <v>NVIDIA</v>
      </c>
      <c r="F106" s="3" cm="1">
        <f t="array" ref="F106">IF(E106&lt;&gt;"",LevenshteinSimilarity(A106,E106),"")</f>
        <v>1</v>
      </c>
      <c r="H106" t="s">
        <v>119</v>
      </c>
      <c r="I106">
        <v>95002</v>
      </c>
    </row>
    <row r="107" spans="1:9">
      <c r="A107" t="str">
        <f>SUBSTITUTE(SUBSTITUTE(Example1!A107,"www.",""),".com","")</f>
        <v>onesignal</v>
      </c>
      <c r="B107" t="str" cm="1">
        <f t="array" ref="B107">SLOOKUP(A107,H:H,H:H,0.6,0)</f>
        <v>Onesignal</v>
      </c>
      <c r="C107" s="3" cm="1">
        <f t="array" ref="C107">IF(B107&lt;&gt;"",SimpleSim(A107,B107),"")</f>
        <v>1</v>
      </c>
      <c r="E107" t="str" cm="1">
        <f t="array" ref="E107">LLOOKUP(A107,H:H,H:H,0.6,0)</f>
        <v>Onesignal</v>
      </c>
      <c r="F107" s="3" cm="1">
        <f t="array" ref="F107">IF(E107&lt;&gt;"",LevenshteinSimilarity(A107,E107),"")</f>
        <v>1</v>
      </c>
      <c r="H107" t="s">
        <v>120</v>
      </c>
      <c r="I107">
        <v>94025</v>
      </c>
    </row>
    <row r="108" spans="1:9">
      <c r="A108" t="str">
        <f>SUBSTITUTE(SUBSTITUTE(Example1!A108,"www.",""),".com","")</f>
        <v>outreachcircle</v>
      </c>
      <c r="B108" t="str" cm="1">
        <f t="array" ref="B108">SLOOKUP(A108,H:H,H:H,0.6,0)</f>
        <v>OutreachCircle</v>
      </c>
      <c r="C108" s="3" cm="1">
        <f t="array" ref="C108">IF(B108&lt;&gt;"",SimpleSim(A108,B108),"")</f>
        <v>1</v>
      </c>
      <c r="E108" t="str" cm="1">
        <f t="array" ref="E108">LLOOKUP(A108,H:H,H:H,0.6,0)</f>
        <v>OutreachCircle</v>
      </c>
      <c r="F108" s="3" cm="1">
        <f t="array" ref="F108">IF(E108&lt;&gt;"",LevenshteinSimilarity(A108,E108),"")</f>
        <v>1</v>
      </c>
      <c r="H108" t="s">
        <v>121</v>
      </c>
      <c r="I108">
        <v>94043</v>
      </c>
    </row>
    <row r="109" spans="1:9">
      <c r="A109" t="str">
        <f>SUBSTITUTE(SUBSTITUTE(Example1!A109,"www.",""),".com","")</f>
        <v>palantir</v>
      </c>
      <c r="B109" t="str" cm="1">
        <f t="array" ref="B109">SLOOKUP(A109,H:H,H:H,0.6,0)</f>
        <v>Palantir</v>
      </c>
      <c r="C109" s="3" cm="1">
        <f t="array" ref="C109">IF(B109&lt;&gt;"",SimpleSim(A109,B109),"")</f>
        <v>1</v>
      </c>
      <c r="E109" t="str" cm="1">
        <f t="array" ref="E109">LLOOKUP(A109,H:H,H:H,0.6,0)</f>
        <v>Palantir</v>
      </c>
      <c r="F109" s="3" cm="1">
        <f t="array" ref="F109">IF(E109&lt;&gt;"",LevenshteinSimilarity(A109,E109),"")</f>
        <v>1</v>
      </c>
      <c r="H109" t="s">
        <v>122</v>
      </c>
      <c r="I109">
        <v>94010</v>
      </c>
    </row>
    <row r="110" spans="1:9">
      <c r="A110" t="str">
        <f>SUBSTITUTE(SUBSTITUTE(Example1!A110,"www.",""),".com","")</f>
        <v>planful</v>
      </c>
      <c r="B110" t="str" cm="1">
        <f t="array" ref="B110">SLOOKUP(A110,H:H,H:H,0.6,0)</f>
        <v>Planful</v>
      </c>
      <c r="C110" s="3" cm="1">
        <f t="array" ref="C110">IF(B110&lt;&gt;"",SimpleSim(A110,B110),"")</f>
        <v>1</v>
      </c>
      <c r="E110" t="str" cm="1">
        <f t="array" ref="E110">LLOOKUP(A110,H:H,H:H,0.6,0)</f>
        <v>Planful</v>
      </c>
      <c r="F110" s="3" cm="1">
        <f t="array" ref="F110">IF(E110&lt;&gt;"",LevenshteinSimilarity(A110,E110),"")</f>
        <v>1</v>
      </c>
      <c r="H110" t="s">
        <v>123</v>
      </c>
      <c r="I110">
        <v>94301</v>
      </c>
    </row>
    <row r="111" spans="1:9">
      <c r="A111" t="str">
        <f>SUBSTITUTE(SUBSTITUTE(Example1!A111,"www.",""),".com","")</f>
        <v>poshmark</v>
      </c>
      <c r="B111" t="str" cm="1">
        <f t="array" ref="B111">SLOOKUP(A111,H:H,H:H,0.6,0)</f>
        <v>Poshmark</v>
      </c>
      <c r="C111" s="3" cm="1">
        <f t="array" ref="C111">IF(B111&lt;&gt;"",SimpleSim(A111,B111),"")</f>
        <v>1</v>
      </c>
      <c r="E111" t="str" cm="1">
        <f t="array" ref="E111">LLOOKUP(A111,H:H,H:H,0.6,0)</f>
        <v>Poshmark</v>
      </c>
      <c r="F111" s="3" cm="1">
        <f t="array" ref="F111">IF(E111&lt;&gt;"",LevenshteinSimilarity(A111,E111),"")</f>
        <v>1</v>
      </c>
      <c r="H111" t="s">
        <v>124</v>
      </c>
      <c r="I111">
        <v>95141</v>
      </c>
    </row>
    <row r="112" spans="1:9">
      <c r="A112" t="str">
        <f>SUBSTITUTE(SUBSTITUTE(Example1!A112,"www.",""),".com","")</f>
        <v>proofpoint</v>
      </c>
      <c r="B112" t="str" cm="1">
        <f t="array" ref="B112">SLOOKUP(A112,H:H,H:H,0.6,0)</f>
        <v>Proofpoint</v>
      </c>
      <c r="C112" s="3" cm="1">
        <f t="array" ref="C112">IF(B112&lt;&gt;"",SimpleSim(A112,B112),"")</f>
        <v>1</v>
      </c>
      <c r="E112" t="str" cm="1">
        <f t="array" ref="E112">LLOOKUP(A112,H:H,H:H,0.6,0)</f>
        <v>Proofpoint</v>
      </c>
      <c r="F112" s="3" cm="1">
        <f t="array" ref="F112">IF(E112&lt;&gt;"",LevenshteinSimilarity(A112,E112),"")</f>
        <v>1</v>
      </c>
      <c r="H112" t="s">
        <v>125</v>
      </c>
      <c r="I112">
        <v>94065</v>
      </c>
    </row>
    <row r="113" spans="1:9">
      <c r="A113" t="str">
        <f>SUBSTITUTE(SUBSTITUTE(Example1!A113,"www.",""),".com","")</f>
        <v>qualys</v>
      </c>
      <c r="B113" t="str" cm="1">
        <f t="array" ref="B113">SLOOKUP(A113,H:H,H:H,0.6,0)</f>
        <v>Qualys</v>
      </c>
      <c r="C113" s="3" cm="1">
        <f t="array" ref="C113">IF(B113&lt;&gt;"",SimpleSim(A113,B113),"")</f>
        <v>1</v>
      </c>
      <c r="E113" t="str" cm="1">
        <f t="array" ref="E113">LLOOKUP(A113,H:H,H:H,0.6,0)</f>
        <v>Qualys</v>
      </c>
      <c r="F113" s="3" cm="1">
        <f t="array" ref="F113">IF(E113&lt;&gt;"",LevenshteinSimilarity(A113,E113),"")</f>
        <v>1</v>
      </c>
      <c r="H113" t="s">
        <v>126</v>
      </c>
      <c r="I113">
        <v>94403</v>
      </c>
    </row>
    <row r="114" spans="1:9">
      <c r="A114" t="str">
        <f>SUBSTITUTE(SUBSTITUTE(Example1!A114,"www.",""),".com","")</f>
        <v>quora</v>
      </c>
      <c r="B114" t="str" cm="1">
        <f t="array" ref="B114">SLOOKUP(A114,H:H,H:H,0.6,0)</f>
        <v>Quora</v>
      </c>
      <c r="C114" s="3" cm="1">
        <f t="array" ref="C114">IF(B114&lt;&gt;"",SimpleSim(A114,B114),"")</f>
        <v>1</v>
      </c>
      <c r="E114" t="str" cm="1">
        <f t="array" ref="E114">LLOOKUP(A114,H:H,H:H,0.6,0)</f>
        <v>Quora</v>
      </c>
      <c r="F114" s="3" cm="1">
        <f t="array" ref="F114">IF(E114&lt;&gt;"",LevenshteinSimilarity(A114,E114),"")</f>
        <v>1</v>
      </c>
      <c r="H114" t="s">
        <v>127</v>
      </c>
      <c r="I114">
        <v>94065</v>
      </c>
    </row>
    <row r="115" spans="1:9">
      <c r="A115" t="str">
        <f>SUBSTITUTE(SUBSTITUTE(Example1!A115,"www.",""),".com","")</f>
        <v>qwilt</v>
      </c>
      <c r="B115" t="str" cm="1">
        <f t="array" ref="B115">SLOOKUP(A115,H:H,H:H,0.6,0)</f>
        <v>Qwilt</v>
      </c>
      <c r="C115" s="3" cm="1">
        <f t="array" ref="C115">IF(B115&lt;&gt;"",SimpleSim(A115,B115),"")</f>
        <v>1</v>
      </c>
      <c r="E115" t="str" cm="1">
        <f t="array" ref="E115">LLOOKUP(A115,H:H,H:H,0.6,0)</f>
        <v>Qwilt</v>
      </c>
      <c r="F115" s="3" cm="1">
        <f t="array" ref="F115">IF(E115&lt;&gt;"",LevenshteinSimilarity(A115,E115),"")</f>
        <v>1</v>
      </c>
      <c r="H115" t="s">
        <v>128</v>
      </c>
      <c r="I115">
        <v>95032</v>
      </c>
    </row>
    <row r="116" spans="1:9">
      <c r="A116" t="str">
        <f>SUBSTITUTE(SUBSTITUTE(Example1!A116,"www.",""),".com","")</f>
        <v>reputation</v>
      </c>
      <c r="B116" t="str" cm="1">
        <f t="array" ref="B116">SLOOKUP(A116,H:H,H:H,0.6,0)</f>
        <v>reputation.com</v>
      </c>
      <c r="C116" s="3" cm="1">
        <f t="array" ref="C116">IF(B116&lt;&gt;"",SimpleSim(A116,B116),"")</f>
        <v>1</v>
      </c>
      <c r="E116" t="str" cm="1">
        <f t="array" ref="E116">LLOOKUP(A116,H:H,H:H,0.6,0)</f>
        <v>reputation.com</v>
      </c>
      <c r="F116" s="3" cm="1">
        <f t="array" ref="F116">IF(E116&lt;&gt;"",LevenshteinSimilarity(A116,E116),"")</f>
        <v>1</v>
      </c>
      <c r="H116" t="s">
        <v>129</v>
      </c>
      <c r="I116">
        <v>94063</v>
      </c>
    </row>
    <row r="117" spans="1:9">
      <c r="A117" t="str">
        <f>SUBSTITUTE(SUBSTITUTE(Example1!A117,"www.",""),".com","")</f>
        <v>robinhood</v>
      </c>
      <c r="B117" t="str" cm="1">
        <f t="array" ref="B117">SLOOKUP(A117,H:H,H:H,0.6,0)</f>
        <v>Robinhood</v>
      </c>
      <c r="C117" s="3" cm="1">
        <f t="array" ref="C117">IF(B117&lt;&gt;"",SimpleSim(A117,B117),"")</f>
        <v>1</v>
      </c>
      <c r="E117" t="str" cm="1">
        <f t="array" ref="E117">LLOOKUP(A117,H:H,H:H,0.6,0)</f>
        <v>Robinhood</v>
      </c>
      <c r="F117" s="3" cm="1">
        <f t="array" ref="F117">IF(E117&lt;&gt;"",LevenshteinSimilarity(A117,E117),"")</f>
        <v>1</v>
      </c>
      <c r="H117" t="s">
        <v>130</v>
      </c>
      <c r="I117">
        <v>94025</v>
      </c>
    </row>
    <row r="118" spans="1:9">
      <c r="A118" t="str">
        <f>SUBSTITUTE(SUBSTITUTE(Example1!A118,"www.",""),".com","")</f>
        <v>roblox</v>
      </c>
      <c r="B118" t="str" cm="1">
        <f t="array" ref="B118">SLOOKUP(A118,H:H,H:H,0.6,0)</f>
        <v>Roblox</v>
      </c>
      <c r="C118" s="3" cm="1">
        <f t="array" ref="C118">IF(B118&lt;&gt;"",SimpleSim(A118,B118),"")</f>
        <v>1</v>
      </c>
      <c r="E118" t="str" cm="1">
        <f t="array" ref="E118">LLOOKUP(A118,H:H,H:H,0.6,0)</f>
        <v>Roblox</v>
      </c>
      <c r="F118" s="3" cm="1">
        <f t="array" ref="F118">IF(E118&lt;&gt;"",LevenshteinSimilarity(A118,E118),"")</f>
        <v>1</v>
      </c>
      <c r="H118" t="s">
        <v>131</v>
      </c>
      <c r="I118">
        <v>95054</v>
      </c>
    </row>
    <row r="119" spans="1:9">
      <c r="A119" t="str">
        <f>SUBSTITUTE(SUBSTITUTE(Example1!A119,"www.",""),".com","")</f>
        <v>roku</v>
      </c>
      <c r="B119" t="str" cm="1">
        <f t="array" ref="B119">SLOOKUP(A119,H:H,H:H,0.6,0)</f>
        <v>Roku</v>
      </c>
      <c r="C119" s="3" cm="1">
        <f t="array" ref="C119">IF(B119&lt;&gt;"",SimpleSim(A119,B119),"")</f>
        <v>1</v>
      </c>
      <c r="E119" t="str" cm="1">
        <f t="array" ref="E119">LLOOKUP(A119,H:H,H:H,0.6,0)</f>
        <v>Roku</v>
      </c>
      <c r="F119" s="3" cm="1">
        <f t="array" ref="F119">IF(E119&lt;&gt;"",LevenshteinSimilarity(A119,E119),"")</f>
        <v>1</v>
      </c>
      <c r="H119" t="s">
        <v>132</v>
      </c>
      <c r="I119">
        <v>94560</v>
      </c>
    </row>
    <row r="120" spans="1:9">
      <c r="A120" t="str">
        <f>SUBSTITUTE(SUBSTITUTE(Example1!A120,"www.",""),".com","")</f>
        <v>sandisk</v>
      </c>
      <c r="B120" t="str" cm="1">
        <f t="array" ref="B120">SLOOKUP(A120,H:H,H:H,0.6,0)</f>
        <v>Sandisk</v>
      </c>
      <c r="C120" s="3" cm="1">
        <f t="array" ref="C120">IF(B120&lt;&gt;"",SimpleSim(A120,B120),"")</f>
        <v>1</v>
      </c>
      <c r="E120" t="str" cm="1">
        <f t="array" ref="E120">LLOOKUP(A120,H:H,H:H,0.6,0)</f>
        <v>Sandisk</v>
      </c>
      <c r="F120" s="3" cm="1">
        <f t="array" ref="F120">IF(E120&lt;&gt;"",LevenshteinSimilarity(A120,E120),"")</f>
        <v>1</v>
      </c>
      <c r="H120" t="s">
        <v>133</v>
      </c>
      <c r="I120">
        <v>94025</v>
      </c>
    </row>
    <row r="121" spans="1:9">
      <c r="A121" t="str">
        <f>SUBSTITUTE(SUBSTITUTE(Example1!A121,"www.",""),".com","")</f>
        <v>sap</v>
      </c>
      <c r="B121" t="str" cm="1">
        <f t="array" ref="B121">SLOOKUP(A121,H:H,H:H,0.6,0)</f>
        <v>SAP</v>
      </c>
      <c r="C121" s="3" cm="1">
        <f t="array" ref="C121">IF(B121&lt;&gt;"",SimpleSim(A121,B121),"")</f>
        <v>1</v>
      </c>
      <c r="E121" t="str" cm="1">
        <f t="array" ref="E121">LLOOKUP(A121,H:H,H:H,0.6,0)</f>
        <v>SAP</v>
      </c>
      <c r="F121" s="3" cm="1">
        <f t="array" ref="F121">IF(E121&lt;&gt;"",LevenshteinSimilarity(A121,E121),"")</f>
        <v>1</v>
      </c>
      <c r="H121" t="s">
        <v>134</v>
      </c>
      <c r="I121">
        <v>94043</v>
      </c>
    </row>
    <row r="122" spans="1:9">
      <c r="A122" t="str">
        <f>SUBSTITUTE(SUBSTITUTE(Example1!A122,"www.",""),".com","")</f>
        <v>scalyr</v>
      </c>
      <c r="B122" t="str" cm="1">
        <f t="array" ref="B122">SLOOKUP(A122,H:H,H:H,0.6,0)</f>
        <v>Scalyr</v>
      </c>
      <c r="C122" s="3" cm="1">
        <f t="array" ref="C122">IF(B122&lt;&gt;"",SimpleSim(A122,B122),"")</f>
        <v>1</v>
      </c>
      <c r="E122" t="str" cm="1">
        <f t="array" ref="E122">LLOOKUP(A122,H:H,H:H,0.6,0)</f>
        <v>Scalyr</v>
      </c>
      <c r="F122" s="3" cm="1">
        <f t="array" ref="F122">IF(E122&lt;&gt;"",LevenshteinSimilarity(A122,E122),"")</f>
        <v>1</v>
      </c>
      <c r="H122" t="s">
        <v>135</v>
      </c>
      <c r="I122">
        <v>94063</v>
      </c>
    </row>
    <row r="123" spans="1:9">
      <c r="A123" t="str">
        <f>SUBSTITUTE(SUBSTITUTE(Example1!A123,"www.",""),".com","")</f>
        <v>seagate</v>
      </c>
      <c r="B123" t="str" cm="1">
        <f t="array" ref="B123">SLOOKUP(A123,H:H,H:H,0.6,0)</f>
        <v>Seagate</v>
      </c>
      <c r="C123" s="3" cm="1">
        <f t="array" ref="C123">IF(B123&lt;&gt;"",SimpleSim(A123,B123),"")</f>
        <v>1</v>
      </c>
      <c r="E123" t="str" cm="1">
        <f t="array" ref="E123">LLOOKUP(A123,H:H,H:H,0.6,0)</f>
        <v>Seagate</v>
      </c>
      <c r="F123" s="3" cm="1">
        <f t="array" ref="F123">IF(E123&lt;&gt;"",LevenshteinSimilarity(A123,E123),"")</f>
        <v>1</v>
      </c>
      <c r="H123" t="s">
        <v>136</v>
      </c>
      <c r="I123">
        <v>94043</v>
      </c>
    </row>
    <row r="124" spans="1:9">
      <c r="A124" t="str">
        <f>SUBSTITUTE(SUBSTITUTE(Example1!A124,"www.",""),".com","")</f>
        <v>securly</v>
      </c>
      <c r="B124" t="str" cm="1">
        <f t="array" ref="B124">SLOOKUP(A124,H:H,H:H,0.6,0)</f>
        <v>Securly</v>
      </c>
      <c r="C124" s="3" cm="1">
        <f t="array" ref="C124">IF(B124&lt;&gt;"",SimpleSim(A124,B124),"")</f>
        <v>1</v>
      </c>
      <c r="E124" t="str" cm="1">
        <f t="array" ref="E124">LLOOKUP(A124,H:H,H:H,0.6,0)</f>
        <v>Securly</v>
      </c>
      <c r="F124" s="3" cm="1">
        <f t="array" ref="F124">IF(E124&lt;&gt;"",LevenshteinSimilarity(A124,E124),"")</f>
        <v>1</v>
      </c>
      <c r="H124" t="s">
        <v>137</v>
      </c>
      <c r="I124">
        <v>94402</v>
      </c>
    </row>
    <row r="125" spans="1:9">
      <c r="A125" t="str">
        <f>SUBSTITUTE(SUBSTITUTE(Example1!A125,"www.",""),".com","")</f>
        <v>sendbird</v>
      </c>
      <c r="B125" t="str" cm="1">
        <f t="array" ref="B125">SLOOKUP(A125,H:H,H:H,0.6,0)</f>
        <v>Sendbird</v>
      </c>
      <c r="C125" s="3" cm="1">
        <f t="array" ref="C125">IF(B125&lt;&gt;"",SimpleSim(A125,B125),"")</f>
        <v>1</v>
      </c>
      <c r="E125" t="str" cm="1">
        <f t="array" ref="E125">LLOOKUP(A125,H:H,H:H,0.6,0)</f>
        <v>Sendbird</v>
      </c>
      <c r="F125" s="3" cm="1">
        <f t="array" ref="F125">IF(E125&lt;&gt;"",LevenshteinSimilarity(A125,E125),"")</f>
        <v>1</v>
      </c>
      <c r="H125" t="s">
        <v>138</v>
      </c>
      <c r="I125">
        <v>94089</v>
      </c>
    </row>
    <row r="126" spans="1:9">
      <c r="A126" t="str">
        <f>SUBSTITUTE(SUBSTITUTE(Example1!A126,"www.",""),".com","")</f>
        <v>sendgrid</v>
      </c>
      <c r="B126" t="str" cm="1">
        <f t="array" ref="B126">SLOOKUP(A126,H:H,H:H,0.6,0)</f>
        <v>Sendgrid</v>
      </c>
      <c r="C126" s="3" cm="1">
        <f t="array" ref="C126">IF(B126&lt;&gt;"",SimpleSim(A126,B126),"")</f>
        <v>1</v>
      </c>
      <c r="E126" t="str" cm="1">
        <f t="array" ref="E126">LLOOKUP(A126,H:H,H:H,0.6,0)</f>
        <v>Sendgrid</v>
      </c>
      <c r="F126" s="3" cm="1">
        <f t="array" ref="F126">IF(E126&lt;&gt;"",LevenshteinSimilarity(A126,E126),"")</f>
        <v>1</v>
      </c>
      <c r="H126" t="s">
        <v>139</v>
      </c>
      <c r="I126">
        <v>94025</v>
      </c>
    </row>
    <row r="127" spans="1:9">
      <c r="A127" t="str">
        <f>SUBSTITUTE(SUBSTITUTE(Example1!A127,"www.",""),".com","")</f>
        <v>sentinelone</v>
      </c>
      <c r="B127" t="str" cm="1">
        <f t="array" ref="B127">SLOOKUP(A127,H:H,H:H,0.6,0)</f>
        <v>SentinelOne</v>
      </c>
      <c r="C127" s="3" cm="1">
        <f t="array" ref="C127">IF(B127&lt;&gt;"",SimpleSim(A127,B127),"")</f>
        <v>1</v>
      </c>
      <c r="E127" t="str" cm="1">
        <f t="array" ref="E127">LLOOKUP(A127,H:H,H:H,0.6,0)</f>
        <v>SentinelOne</v>
      </c>
      <c r="F127" s="3" cm="1">
        <f t="array" ref="F127">IF(E127&lt;&gt;"",LevenshteinSimilarity(A127,E127),"")</f>
        <v>1</v>
      </c>
      <c r="H127" t="s">
        <v>140</v>
      </c>
      <c r="I127">
        <v>94043</v>
      </c>
    </row>
    <row r="128" spans="1:9">
      <c r="A128" t="str">
        <f>SUBSTITUTE(SUBSTITUTE(Example1!A128,"www.",""),".com","")</f>
        <v>sequoiacap</v>
      </c>
      <c r="B128" t="str" cm="1">
        <f t="array" ref="B128">SLOOKUP(A128,H:H,H:H,0.6,0)</f>
        <v>Sequoia Capital</v>
      </c>
      <c r="C128" s="3" cm="1">
        <f t="array" ref="C128">IF(B128&lt;&gt;"",SimpleSim(A128,B128),"")</f>
        <v>0.95</v>
      </c>
      <c r="E128" t="str" cm="1">
        <f t="array" ref="E128">LLOOKUP(A128,H:H,H:H,0.6,0)</f>
        <v>Sequoia Capital</v>
      </c>
      <c r="F128" s="3" cm="1">
        <f t="array" ref="F128">IF(E128&lt;&gt;"",LevenshteinSimilarity(A128,E128),"")</f>
        <v>0.9</v>
      </c>
      <c r="H128" t="s">
        <v>141</v>
      </c>
      <c r="I128">
        <v>94025</v>
      </c>
    </row>
    <row r="129" spans="1:9">
      <c r="A129" t="str">
        <f>SUBSTITUTE(SUBSTITUTE(Example1!A129,"www.",""),".com","")</f>
        <v>shastaventures</v>
      </c>
      <c r="B129" t="str" cm="1">
        <f t="array" ref="B129">SLOOKUP(A129,H:H,H:H,0.6,0)</f>
        <v>Shasta Ventures</v>
      </c>
      <c r="C129" s="3" cm="1">
        <f t="array" ref="C129">IF(B129&lt;&gt;"",SimpleSim(A129,B129),"")</f>
        <v>0.9642857142857143</v>
      </c>
      <c r="E129" t="str" cm="1">
        <f t="array" ref="E129">LLOOKUP(A129,H:H,H:H,0.6,0)</f>
        <v>Shasta Ventures</v>
      </c>
      <c r="F129" s="3" cm="1">
        <f t="array" ref="F129">IF(E129&lt;&gt;"",LevenshteinSimilarity(A129,E129),"")</f>
        <v>0.9285714285714286</v>
      </c>
      <c r="H129" t="s">
        <v>142</v>
      </c>
      <c r="I129">
        <v>94025</v>
      </c>
    </row>
    <row r="130" spans="1:9">
      <c r="A130" t="str">
        <f>SUBSTITUTE(SUBSTITUTE(Example1!A130,"www.",""),".com","")</f>
        <v>shazam</v>
      </c>
      <c r="B130" t="str" cm="1">
        <f t="array" ref="B130">SLOOKUP(A130,H:H,H:H,0.6,0)</f>
        <v>Shazam</v>
      </c>
      <c r="C130" s="3" cm="1">
        <f t="array" ref="C130">IF(B130&lt;&gt;"",SimpleSim(A130,B130),"")</f>
        <v>1</v>
      </c>
      <c r="E130" t="str" cm="1">
        <f t="array" ref="E130">LLOOKUP(A130,H:H,H:H,0.6,0)</f>
        <v>Shazam</v>
      </c>
      <c r="F130" s="3" cm="1">
        <f t="array" ref="F130">IF(E130&lt;&gt;"",LevenshteinSimilarity(A130,E130),"")</f>
        <v>1</v>
      </c>
      <c r="H130" t="s">
        <v>143</v>
      </c>
      <c r="I130">
        <v>94025</v>
      </c>
    </row>
    <row r="131" spans="1:9">
      <c r="A131" t="str">
        <f>SUBSTITUTE(SUBSTITUTE(Example1!A131,"www.",""),".com","")</f>
        <v>shutterfly</v>
      </c>
      <c r="B131" t="str" cm="1">
        <f t="array" ref="B131">SLOOKUP(A131,H:H,H:H,0.6,0)</f>
        <v>Shutterfly</v>
      </c>
      <c r="C131" s="3" cm="1">
        <f t="array" ref="C131">IF(B131&lt;&gt;"",SimpleSim(A131,B131),"")</f>
        <v>1</v>
      </c>
      <c r="E131" t="str" cm="1">
        <f t="array" ref="E131">LLOOKUP(A131,H:H,H:H,0.6,0)</f>
        <v>Shutterfly</v>
      </c>
      <c r="F131" s="3" cm="1">
        <f t="array" ref="F131">IF(E131&lt;&gt;"",LevenshteinSimilarity(A131,E131),"")</f>
        <v>1</v>
      </c>
      <c r="H131" t="s">
        <v>144</v>
      </c>
      <c r="I131">
        <v>95014</v>
      </c>
    </row>
    <row r="132" spans="1:9">
      <c r="A132" t="str">
        <f>SUBSTITUTE(SUBSTITUTE(Example1!A132,"www.",""),".com","")</f>
        <v>sibly.co</v>
      </c>
      <c r="B132" t="str" cm="1">
        <f t="array" ref="B132">SLOOKUP(A132,H:H,H:H,0.6,0)</f>
        <v>Sibly</v>
      </c>
      <c r="C132" s="3" cm="1">
        <f t="array" ref="C132">IF(B132&lt;&gt;"",SimpleSim(A132,B132),"")</f>
        <v>0.625</v>
      </c>
      <c r="E132" t="str" cm="1">
        <f t="array" ref="E132">LLOOKUP(A132,H:H,H:H,0.6,0)</f>
        <v>Sibly</v>
      </c>
      <c r="F132" s="3" cm="1">
        <f t="array" ref="F132">IF(E132&lt;&gt;"",LevenshteinSimilarity(A132,E132),"")</f>
        <v>0.625</v>
      </c>
      <c r="H132" t="s">
        <v>145</v>
      </c>
      <c r="I132">
        <v>94303</v>
      </c>
    </row>
    <row r="133" spans="1:9">
      <c r="A133" t="str">
        <f>SUBSTITUTE(SUBSTITUTE(Example1!A133,"www.",""),".com","")</f>
        <v>signalfx</v>
      </c>
      <c r="B133" t="str" cm="1">
        <f t="array" ref="B133">SLOOKUP(A133,H:H,H:H,0.6,0)</f>
        <v>SignalFx</v>
      </c>
      <c r="C133" s="3" cm="1">
        <f t="array" ref="C133">IF(B133&lt;&gt;"",SimpleSim(A133,B133),"")</f>
        <v>1</v>
      </c>
      <c r="E133" t="str" cm="1">
        <f t="array" ref="E133">LLOOKUP(A133,H:H,H:H,0.6,0)</f>
        <v>SignalFx</v>
      </c>
      <c r="F133" s="3" cm="1">
        <f t="array" ref="F133">IF(E133&lt;&gt;"",LevenshteinSimilarity(A133,E133),"")</f>
        <v>1</v>
      </c>
      <c r="H133" t="s">
        <v>146</v>
      </c>
      <c r="I133">
        <v>94025</v>
      </c>
    </row>
    <row r="134" spans="1:9">
      <c r="A134" t="str">
        <f>SUBSTITUTE(SUBSTITUTE(Example1!A134,"www.",""),".com","")</f>
        <v>sizmek</v>
      </c>
      <c r="B134" t="str" cm="1">
        <f t="array" ref="B134">SLOOKUP(A134,H:H,H:H,0.6,0)</f>
        <v>Sizmek</v>
      </c>
      <c r="C134" s="3" cm="1">
        <f t="array" ref="C134">IF(B134&lt;&gt;"",SimpleSim(A134,B134),"")</f>
        <v>1</v>
      </c>
      <c r="E134" t="str" cm="1">
        <f t="array" ref="E134">LLOOKUP(A134,H:H,H:H,0.6,0)</f>
        <v>Sizmek</v>
      </c>
      <c r="F134" s="3" cm="1">
        <f t="array" ref="F134">IF(E134&lt;&gt;"",LevenshteinSimilarity(A134,E134),"")</f>
        <v>1</v>
      </c>
      <c r="H134" t="s">
        <v>147</v>
      </c>
      <c r="I134">
        <v>94041</v>
      </c>
    </row>
    <row r="135" spans="1:9">
      <c r="A135" t="str">
        <f>SUBSTITUTE(SUBSTITUTE(Example1!A135,"www.",""),".com","")</f>
        <v>smugmug</v>
      </c>
      <c r="B135" t="str" cm="1">
        <f t="array" ref="B135">SLOOKUP(A135,H:H,H:H,0.6,0)</f>
        <v>SmugMug</v>
      </c>
      <c r="C135" s="3" cm="1">
        <f t="array" ref="C135">IF(B135&lt;&gt;"",SimpleSim(A135,B135),"")</f>
        <v>1</v>
      </c>
      <c r="E135" t="str" cm="1">
        <f t="array" ref="E135">LLOOKUP(A135,H:H,H:H,0.6,0)</f>
        <v>SmugMug</v>
      </c>
      <c r="F135" s="3" cm="1">
        <f t="array" ref="F135">IF(E135&lt;&gt;"",LevenshteinSimilarity(A135,E135),"")</f>
        <v>1</v>
      </c>
      <c r="H135" t="s">
        <v>148</v>
      </c>
      <c r="I135">
        <v>94560</v>
      </c>
    </row>
    <row r="136" spans="1:9">
      <c r="A136" t="str">
        <f>SUBSTITUTE(SUBSTITUTE(Example1!A136,"www.",""),".com","")</f>
        <v>snaplogic</v>
      </c>
      <c r="B136" t="str" cm="1">
        <f t="array" ref="B136">SLOOKUP(A136,H:H,H:H,0.6,0)</f>
        <v>SnapLogic</v>
      </c>
      <c r="C136" s="3" cm="1">
        <f t="array" ref="C136">IF(B136&lt;&gt;"",SimpleSim(A136,B136),"")</f>
        <v>1</v>
      </c>
      <c r="E136" t="str" cm="1">
        <f t="array" ref="E136">LLOOKUP(A136,H:H,H:H,0.6,0)</f>
        <v>SnapLogic</v>
      </c>
      <c r="F136" s="3" cm="1">
        <f t="array" ref="F136">IF(E136&lt;&gt;"",LevenshteinSimilarity(A136,E136),"")</f>
        <v>1</v>
      </c>
      <c r="H136" t="s">
        <v>149</v>
      </c>
      <c r="I136">
        <v>94402</v>
      </c>
    </row>
    <row r="137" spans="1:9">
      <c r="A137" t="str">
        <f>SUBSTITUTE(SUBSTITUTE(Example1!A137,"www.",""),".com","")</f>
        <v>snowflake</v>
      </c>
      <c r="B137" t="str" cm="1">
        <f t="array" ref="B137">SLOOKUP(A137,H:H,H:H,0.6,0)</f>
        <v>Snowflake Computing</v>
      </c>
      <c r="C137" s="3" cm="1">
        <f t="array" ref="C137">IF(B137&lt;&gt;"",SimpleSim(A137,B137),"")</f>
        <v>1</v>
      </c>
      <c r="E137" t="str" cm="1">
        <f t="array" ref="E137">LLOOKUP(A137,H:H,H:H,0.6,0)</f>
        <v/>
      </c>
      <c r="F137" s="3" t="str" cm="1">
        <f t="array" ref="F137">IF(E137&lt;&gt;"",LevenshteinSimilarity(A137,E137),"")</f>
        <v/>
      </c>
      <c r="H137" t="s">
        <v>150</v>
      </c>
      <c r="I137">
        <v>94303</v>
      </c>
    </row>
    <row r="138" spans="1:9">
      <c r="A138" t="str">
        <f>SUBSTITUTE(SUBSTITUTE(Example1!A138,"www.",""),".com","")</f>
        <v>sslmda</v>
      </c>
      <c r="B138" t="str" cm="1">
        <f t="array" ref="B138">SLOOKUP(A138,H:H,H:H,0.6,0)</f>
        <v/>
      </c>
      <c r="C138" s="3" t="str" cm="1">
        <f t="array" ref="C138">IF(B138&lt;&gt;"",SimpleSim(A138,B138),"")</f>
        <v/>
      </c>
      <c r="E138" t="str" cm="1">
        <f t="array" ref="E138">LLOOKUP(A138,H:H,H:H,0.6,0)</f>
        <v/>
      </c>
      <c r="F138" s="3" t="str" cm="1">
        <f t="array" ref="F138">IF(E138&lt;&gt;"",LevenshteinSimilarity(A138,E138),"")</f>
        <v/>
      </c>
      <c r="H138" t="s">
        <v>151</v>
      </c>
      <c r="I138">
        <v>94025</v>
      </c>
    </row>
    <row r="139" spans="1:9">
      <c r="A139" t="str">
        <f>SUBSTITUTE(SUBSTITUTE(Example1!A139,"www.",""),".com","")</f>
        <v>sterlingpr</v>
      </c>
      <c r="B139" t="str" cm="1">
        <f t="array" ref="B139">SLOOKUP(A139,H:H,H:H,0.6,0)</f>
        <v>Sterling Communications</v>
      </c>
      <c r="C139" s="3" cm="1">
        <f t="array" ref="C139">IF(B139&lt;&gt;"",SimpleSim(A139,B139),"")</f>
        <v>0.82499999999999996</v>
      </c>
      <c r="E139" t="str" cm="1">
        <f t="array" ref="E139">LLOOKUP(A139,H:H,H:H,0.6,0)</f>
        <v/>
      </c>
      <c r="F139" s="3" t="str" cm="1">
        <f t="array" ref="F139">IF(E139&lt;&gt;"",LevenshteinSimilarity(A139,E139),"")</f>
        <v/>
      </c>
      <c r="H139" t="s">
        <v>152</v>
      </c>
      <c r="I139">
        <v>95134</v>
      </c>
    </row>
    <row r="140" spans="1:9">
      <c r="A140" t="str">
        <f>SUBSTITUTE(SUBSTITUTE(Example1!A140,"www.",""),".com","")</f>
        <v>stormventures</v>
      </c>
      <c r="B140" t="str" cm="1">
        <f t="array" ref="B140">SLOOKUP(A140,H:H,H:H,0.6,0)</f>
        <v>Storm Ventures</v>
      </c>
      <c r="C140" s="3" cm="1">
        <f t="array" ref="C140">IF(B140&lt;&gt;"",SimpleSim(A140,B140),"")</f>
        <v>0.96153846153846156</v>
      </c>
      <c r="E140" t="str" cm="1">
        <f t="array" ref="E140">LLOOKUP(A140,H:H,H:H,0.6,0)</f>
        <v>Storm Ventures</v>
      </c>
      <c r="F140" s="3" cm="1">
        <f t="array" ref="F140">IF(E140&lt;&gt;"",LevenshteinSimilarity(A140,E140),"")</f>
        <v>0.92307692307692313</v>
      </c>
      <c r="H140" t="s">
        <v>153</v>
      </c>
      <c r="I140">
        <v>94404</v>
      </c>
    </row>
    <row r="141" spans="1:9">
      <c r="A141" t="str">
        <f>SUBSTITUTE(SUBSTITUTE(Example1!A141,"www.",""),".com","")</f>
        <v>sumologic</v>
      </c>
      <c r="B141" t="str" cm="1">
        <f t="array" ref="B141">SLOOKUP(A141,H:H,H:H,0.6,0)</f>
        <v>Sumo Logic</v>
      </c>
      <c r="C141" s="3" cm="1">
        <f t="array" ref="C141">IF(B141&lt;&gt;"",SimpleSim(A141,B141),"")</f>
        <v>0.94444444444444442</v>
      </c>
      <c r="E141" t="str" cm="1">
        <f t="array" ref="E141">LLOOKUP(A141,H:H,H:H,0.6,0)</f>
        <v>Sumo Logic</v>
      </c>
      <c r="F141" s="3" cm="1">
        <f t="array" ref="F141">IF(E141&lt;&gt;"",LevenshteinSimilarity(A141,E141),"")</f>
        <v>0.88888888888888884</v>
      </c>
      <c r="H141" t="s">
        <v>154</v>
      </c>
      <c r="I141">
        <v>94070</v>
      </c>
    </row>
    <row r="142" spans="1:9">
      <c r="A142" t="str">
        <f>SUBSTITUTE(SUBSTITUTE(Example1!A142,"www.",""),".com","")</f>
        <v>surveymonkey</v>
      </c>
      <c r="B142" t="str" cm="1">
        <f t="array" ref="B142">SLOOKUP(A142,H:H,H:H,0.6,0)</f>
        <v>SurveyMonkey</v>
      </c>
      <c r="C142" s="3" cm="1">
        <f t="array" ref="C142">IF(B142&lt;&gt;"",SimpleSim(A142,B142),"")</f>
        <v>1</v>
      </c>
      <c r="E142" t="str" cm="1">
        <f t="array" ref="E142">LLOOKUP(A142,H:H,H:H,0.6,0)</f>
        <v>SurveyMonkey</v>
      </c>
      <c r="F142" s="3" cm="1">
        <f t="array" ref="F142">IF(E142&lt;&gt;"",LevenshteinSimilarity(A142,E142),"")</f>
        <v>1</v>
      </c>
      <c r="H142" t="s">
        <v>155</v>
      </c>
      <c r="I142">
        <v>95054</v>
      </c>
    </row>
    <row r="143" spans="1:9">
      <c r="A143" t="str">
        <f>SUBSTITUTE(SUBSTITUTE(Example1!A143,"www.",""),".com","")</f>
        <v>svgventures</v>
      </c>
      <c r="B143" t="str" cm="1">
        <f t="array" ref="B143">SLOOKUP(A143,H:H,H:H,0.6,0)</f>
        <v>SVG Ventures</v>
      </c>
      <c r="C143" s="3" cm="1">
        <f t="array" ref="C143">IF(B143&lt;&gt;"",SimpleSim(A143,B143),"")</f>
        <v>0.95454545454545459</v>
      </c>
      <c r="E143" t="str" cm="1">
        <f t="array" ref="E143">LLOOKUP(A143,H:H,H:H,0.6,0)</f>
        <v>SVG Ventures</v>
      </c>
      <c r="F143" s="3" cm="1">
        <f t="array" ref="F143">IF(E143&lt;&gt;"",LevenshteinSimilarity(A143,E143),"")</f>
        <v>0.90909090909090906</v>
      </c>
      <c r="H143" t="s">
        <v>156</v>
      </c>
      <c r="I143">
        <v>94301</v>
      </c>
    </row>
    <row r="144" spans="1:9">
      <c r="A144" t="str">
        <f>SUBSTITUTE(SUBSTITUTE(Example1!A144,"www.",""),".com","")</f>
        <v>syllable.ai</v>
      </c>
      <c r="B144" t="str" cm="1">
        <f t="array" ref="B144">SLOOKUP(A144,H:H,H:H,0.6,0)</f>
        <v>Syllable.ai</v>
      </c>
      <c r="C144" s="3" cm="1">
        <f t="array" ref="C144">IF(B144&lt;&gt;"",SimpleSim(A144,B144),"")</f>
        <v>1</v>
      </c>
      <c r="E144" t="str" cm="1">
        <f t="array" ref="E144">LLOOKUP(A144,H:H,H:H,0.6,0)</f>
        <v>Syllable.ai</v>
      </c>
      <c r="F144" s="3" cm="1">
        <f t="array" ref="F144">IF(E144&lt;&gt;"",LevenshteinSimilarity(A144,E144),"")</f>
        <v>1</v>
      </c>
      <c r="H144" t="s">
        <v>157</v>
      </c>
      <c r="I144">
        <v>94025</v>
      </c>
    </row>
    <row r="145" spans="1:9">
      <c r="A145" t="str">
        <f>SUBSTITUTE(SUBSTITUTE(Example1!A145,"www.",""),".com","")</f>
        <v>symantec</v>
      </c>
      <c r="B145" t="str" cm="1">
        <f t="array" ref="B145">SLOOKUP(A145,H:H,H:H,0.6,0)</f>
        <v>Symantec</v>
      </c>
      <c r="C145" s="3" cm="1">
        <f t="array" ref="C145">IF(B145&lt;&gt;"",SimpleSim(A145,B145),"")</f>
        <v>1</v>
      </c>
      <c r="E145" t="str" cm="1">
        <f t="array" ref="E145">LLOOKUP(A145,H:H,H:H,0.6,0)</f>
        <v>Symantec</v>
      </c>
      <c r="F145" s="3" cm="1">
        <f t="array" ref="F145">IF(E145&lt;&gt;"",LevenshteinSimilarity(A145,E145),"")</f>
        <v>1</v>
      </c>
      <c r="H145" t="s">
        <v>158</v>
      </c>
      <c r="I145">
        <v>95054</v>
      </c>
    </row>
    <row r="146" spans="1:9">
      <c r="A146" t="str">
        <f>SUBSTITUTE(SUBSTITUTE(Example1!A146,"www.",""),".com","")</f>
        <v>synopsys</v>
      </c>
      <c r="B146" t="str" cm="1">
        <f t="array" ref="B146">SLOOKUP(A146,H:H,H:H,0.6,0)</f>
        <v>Synopsys</v>
      </c>
      <c r="C146" s="3" cm="1">
        <f t="array" ref="C146">IF(B146&lt;&gt;"",SimpleSim(A146,B146),"")</f>
        <v>1</v>
      </c>
      <c r="E146" t="str" cm="1">
        <f t="array" ref="E146">LLOOKUP(A146,H:H,H:H,0.6,0)</f>
        <v>Synopsys</v>
      </c>
      <c r="F146" s="3" cm="1">
        <f t="array" ref="F146">IF(E146&lt;&gt;"",LevenshteinSimilarity(A146,E146),"")</f>
        <v>1</v>
      </c>
      <c r="H146" t="s">
        <v>159</v>
      </c>
      <c r="I146">
        <v>94025</v>
      </c>
    </row>
    <row r="147" spans="1:9">
      <c r="A147" t="str">
        <f>SUBSTITUTE(SUBSTITUTE(Example1!A147,"www.",""),".com","")</f>
        <v>talentseer</v>
      </c>
      <c r="B147" t="str" cm="1">
        <f t="array" ref="B147">SLOOKUP(A147,H:H,H:H,0.6,0)</f>
        <v>TalentSeer</v>
      </c>
      <c r="C147" s="3" cm="1">
        <f t="array" ref="C147">IF(B147&lt;&gt;"",SimpleSim(A147,B147),"")</f>
        <v>1</v>
      </c>
      <c r="E147" t="str" cm="1">
        <f t="array" ref="E147">LLOOKUP(A147,H:H,H:H,0.6,0)</f>
        <v>TalentSeer</v>
      </c>
      <c r="F147" s="3" cm="1">
        <f t="array" ref="F147">IF(E147&lt;&gt;"",LevenshteinSimilarity(A147,E147),"")</f>
        <v>1</v>
      </c>
      <c r="H147" t="s">
        <v>160</v>
      </c>
      <c r="I147">
        <v>94538</v>
      </c>
    </row>
    <row r="148" spans="1:9">
      <c r="A148" t="str">
        <f>SUBSTITUTE(SUBSTITUTE(Example1!A148,"www.",""),".com","")</f>
        <v>taos</v>
      </c>
      <c r="B148" t="str" cm="1">
        <f t="array" ref="B148">SLOOKUP(A148,H:H,H:H,0.6,0)</f>
        <v>Taos</v>
      </c>
      <c r="C148" s="3" cm="1">
        <f t="array" ref="C148">IF(B148&lt;&gt;"",SimpleSim(A148,B148),"")</f>
        <v>1</v>
      </c>
      <c r="E148" t="str" cm="1">
        <f t="array" ref="E148">LLOOKUP(A148,H:H,H:H,0.6,0)</f>
        <v>Taos</v>
      </c>
      <c r="F148" s="3" cm="1">
        <f t="array" ref="F148">IF(E148&lt;&gt;"",LevenshteinSimilarity(A148,E148),"")</f>
        <v>1</v>
      </c>
      <c r="H148" t="s">
        <v>161</v>
      </c>
      <c r="I148">
        <v>94403</v>
      </c>
    </row>
    <row r="149" spans="1:9">
      <c r="A149" t="str">
        <f>SUBSTITUTE(SUBSTITUTE(Example1!A149,"www.",""),".com","")</f>
        <v>tascent</v>
      </c>
      <c r="B149" t="str" cm="1">
        <f t="array" ref="B149">SLOOKUP(A149,H:H,H:H,0.6,0)</f>
        <v>Tascent</v>
      </c>
      <c r="C149" s="3" cm="1">
        <f t="array" ref="C149">IF(B149&lt;&gt;"",SimpleSim(A149,B149),"")</f>
        <v>1</v>
      </c>
      <c r="E149" t="str" cm="1">
        <f t="array" ref="E149">LLOOKUP(A149,H:H,H:H,0.6,0)</f>
        <v>Tascent</v>
      </c>
      <c r="F149" s="3" cm="1">
        <f t="array" ref="F149">IF(E149&lt;&gt;"",LevenshteinSimilarity(A149,E149),"")</f>
        <v>1</v>
      </c>
      <c r="H149" t="s">
        <v>162</v>
      </c>
      <c r="I149">
        <v>94303</v>
      </c>
    </row>
    <row r="150" spans="1:9">
      <c r="A150" t="str">
        <f>SUBSTITUTE(SUBSTITUTE(Example1!A150,"www.",""),".com","")</f>
        <v>tcs</v>
      </c>
      <c r="B150" t="str" cm="1">
        <f t="array" ref="B150">SLOOKUP(A150,H:H,H:H,0.6,0)</f>
        <v/>
      </c>
      <c r="C150" s="3" t="str" cm="1">
        <f t="array" ref="C150">IF(B150&lt;&gt;"",SimpleSim(A150,B150),"")</f>
        <v/>
      </c>
      <c r="E150" t="str" cm="1">
        <f t="array" ref="E150">LLOOKUP(A150,H:H,H:H,0.6,0)</f>
        <v/>
      </c>
      <c r="F150" s="3" t="str" cm="1">
        <f t="array" ref="F150">IF(E150&lt;&gt;"",LevenshteinSimilarity(A150,E150),"")</f>
        <v/>
      </c>
      <c r="H150" t="s">
        <v>163</v>
      </c>
      <c r="I150">
        <v>95113</v>
      </c>
    </row>
    <row r="151" spans="1:9">
      <c r="A151" t="str">
        <f>SUBSTITUTE(SUBSTITUTE(Example1!A151,"www.",""),".com","")</f>
        <v>tibco</v>
      </c>
      <c r="B151" t="str" cm="1">
        <f t="array" ref="B151">SLOOKUP(A151,H:H,H:H,0.6,0)</f>
        <v>TIBCO Software</v>
      </c>
      <c r="C151" s="3" cm="1">
        <f t="array" ref="C151">IF(B151&lt;&gt;"",SimpleSim(A151,B151),"")</f>
        <v>1</v>
      </c>
      <c r="E151" t="str" cm="1">
        <f t="array" ref="E151">LLOOKUP(A151,H:H,H:H,0.6,0)</f>
        <v>Cisco</v>
      </c>
      <c r="F151" s="3" cm="1">
        <f t="array" ref="F151">IF(E151&lt;&gt;"",LevenshteinSimilarity(A151,E151),"")</f>
        <v>0.6</v>
      </c>
      <c r="H151" t="s">
        <v>164</v>
      </c>
      <c r="I151">
        <v>94043</v>
      </c>
    </row>
    <row r="152" spans="1:9">
      <c r="A152" t="str">
        <f>SUBSTITUTE(SUBSTITUTE(Example1!A152,"www.",""),".com","")</f>
        <v>triplepointcapital</v>
      </c>
      <c r="B152" t="str" cm="1">
        <f t="array" ref="B152">SLOOKUP(A152,H:H,H:H,0.6,0)</f>
        <v>TriplePoint Capital</v>
      </c>
      <c r="C152" s="3" cm="1">
        <f t="array" ref="C152">IF(B152&lt;&gt;"",SimpleSim(A152,B152),"")</f>
        <v>0.97222222222222221</v>
      </c>
      <c r="E152" t="str" cm="1">
        <f t="array" ref="E152">LLOOKUP(A152,H:H,H:H,0.6,0)</f>
        <v>TriplePoint Capital</v>
      </c>
      <c r="F152" s="3" cm="1">
        <f t="array" ref="F152">IF(E152&lt;&gt;"",LevenshteinSimilarity(A152,E152),"")</f>
        <v>0.94444444444444442</v>
      </c>
      <c r="H152" t="s">
        <v>165</v>
      </c>
      <c r="I152">
        <v>94404</v>
      </c>
    </row>
    <row r="153" spans="1:9">
      <c r="A153" t="str">
        <f>SUBSTITUTE(SUBSTITUTE(Example1!A153,"www.",""),".com","")</f>
        <v>tryascend</v>
      </c>
      <c r="B153" t="str" cm="1">
        <f t="array" ref="B153">SLOOKUP(A153,H:H,H:H,0.6,0)</f>
        <v>Ascend</v>
      </c>
      <c r="C153" s="3" cm="1">
        <f t="array" ref="C153">IF(B153&lt;&gt;"",SimpleSim(A153,B153),"")</f>
        <v>0.66666666666666663</v>
      </c>
      <c r="E153" t="str" cm="1">
        <f t="array" ref="E153">LLOOKUP(A153,H:H,H:H,0.6,0)</f>
        <v>Ascend</v>
      </c>
      <c r="F153" s="3" cm="1">
        <f t="array" ref="F153">IF(E153&lt;&gt;"",LevenshteinSimilarity(A153,E153),"")</f>
        <v>0.66666666666666663</v>
      </c>
      <c r="H153" t="s">
        <v>166</v>
      </c>
      <c r="I153">
        <v>94025</v>
      </c>
    </row>
    <row r="154" spans="1:9">
      <c r="A154" t="str">
        <f>SUBSTITUTE(SUBSTITUTE(Example1!A154,"www.",""),".com","")</f>
        <v>tunein</v>
      </c>
      <c r="B154" t="str" cm="1">
        <f t="array" ref="B154">SLOOKUP(A154,H:H,H:H,0.6,0)</f>
        <v>TuneIn</v>
      </c>
      <c r="C154" s="3" cm="1">
        <f t="array" ref="C154">IF(B154&lt;&gt;"",SimpleSim(A154,B154),"")</f>
        <v>1</v>
      </c>
      <c r="E154" t="str" cm="1">
        <f t="array" ref="E154">LLOOKUP(A154,H:H,H:H,0.6,0)</f>
        <v>TuneIn</v>
      </c>
      <c r="F154" s="3" cm="1">
        <f t="array" ref="F154">IF(E154&lt;&gt;"",LevenshteinSimilarity(A154,E154),"")</f>
        <v>1</v>
      </c>
      <c r="H154" t="s">
        <v>167</v>
      </c>
      <c r="I154">
        <v>94301</v>
      </c>
    </row>
    <row r="155" spans="1:9">
      <c r="A155" t="str">
        <f>SUBSTITUTE(SUBSTITUTE(Example1!A155,"www.",""),".com","")</f>
        <v>unitq</v>
      </c>
      <c r="B155" t="str" cm="1">
        <f t="array" ref="B155">SLOOKUP(A155,H:H,H:H,0.6,0)</f>
        <v>unitQ</v>
      </c>
      <c r="C155" s="3" cm="1">
        <f t="array" ref="C155">IF(B155&lt;&gt;"",SimpleSim(A155,B155),"")</f>
        <v>1</v>
      </c>
      <c r="E155" t="str" cm="1">
        <f t="array" ref="E155">LLOOKUP(A155,H:H,H:H,0.6,0)</f>
        <v>unitQ</v>
      </c>
      <c r="F155" s="3" cm="1">
        <f t="array" ref="F155">IF(E155&lt;&gt;"",LevenshteinSimilarity(A155,E155),"")</f>
        <v>1</v>
      </c>
      <c r="H155" t="s">
        <v>168</v>
      </c>
      <c r="I155">
        <v>94025</v>
      </c>
    </row>
    <row r="156" spans="1:9">
      <c r="A156" t="str">
        <f>SUBSTITUTE(SUBSTITUTE(Example1!A156,"www.",""),".com","")</f>
        <v>usa.baidu</v>
      </c>
      <c r="B156" t="str" cm="1">
        <f t="array" ref="B156">SLOOKUP(A156,H:H,H:H,0.6,0)</f>
        <v>Baidu USA</v>
      </c>
      <c r="C156" s="3" cm="1">
        <f t="array" ref="C156">IF(B156&lt;&gt;"",SimpleSim(A156,B156),"")</f>
        <v>0.65291005291005288</v>
      </c>
      <c r="E156" t="str" cm="1">
        <f t="array" ref="E156">LLOOKUP(A156,H:H,H:H,0.6,0)</f>
        <v/>
      </c>
      <c r="F156" s="3" t="str" cm="1">
        <f t="array" ref="F156">IF(E156&lt;&gt;"",LevenshteinSimilarity(A156,E156),"")</f>
        <v/>
      </c>
      <c r="H156" t="s">
        <v>169</v>
      </c>
      <c r="I156">
        <v>94303</v>
      </c>
    </row>
    <row r="157" spans="1:9">
      <c r="A157" t="str">
        <f>SUBSTITUTE(SUBSTITUTE(Example1!A157,"www.",""),".com","")</f>
        <v>usa.visa</v>
      </c>
      <c r="B157" t="str" cm="1">
        <f t="array" ref="B157">SLOOKUP(A157,H:H,H:H,0.6,0)</f>
        <v>Virtusa</v>
      </c>
      <c r="C157" s="3" cm="1">
        <f t="array" ref="C157">IF(B157&lt;&gt;"",SimpleSim(A157,B157),"")</f>
        <v>0.68125000000000002</v>
      </c>
      <c r="E157" t="str" cm="1">
        <f t="array" ref="E157">LLOOKUP(A157,H:H,H:H,0.6,0)</f>
        <v/>
      </c>
      <c r="F157" s="3" t="str" cm="1">
        <f t="array" ref="F157">IF(E157&lt;&gt;"",LevenshteinSimilarity(A157,E157),"")</f>
        <v/>
      </c>
      <c r="H157" t="s">
        <v>170</v>
      </c>
      <c r="I157">
        <v>94089</v>
      </c>
    </row>
    <row r="158" spans="1:9">
      <c r="A158" t="str">
        <f>SUBSTITUTE(SUBSTITUTE(Example1!A158,"www.",""),".com","")</f>
        <v>verkada</v>
      </c>
      <c r="B158" t="str" cm="1">
        <f t="array" ref="B158">SLOOKUP(A158,H:H,H:H,0.6,0)</f>
        <v>Verkada</v>
      </c>
      <c r="C158" s="3" cm="1">
        <f t="array" ref="C158">IF(B158&lt;&gt;"",SimpleSim(A158,B158),"")</f>
        <v>1</v>
      </c>
      <c r="E158" t="str" cm="1">
        <f t="array" ref="E158">LLOOKUP(A158,H:H,H:H,0.6,0)</f>
        <v>Verkada</v>
      </c>
      <c r="F158" s="3" cm="1">
        <f t="array" ref="F158">IF(E158&lt;&gt;"",LevenshteinSimilarity(A158,E158),"")</f>
        <v>1</v>
      </c>
      <c r="H158" t="s">
        <v>171</v>
      </c>
      <c r="I158">
        <v>95032</v>
      </c>
    </row>
    <row r="159" spans="1:9">
      <c r="A159" t="str">
        <f>SUBSTITUTE(SUBSTITUTE(Example1!A159,"www.",""),".com","")</f>
        <v>virtusa</v>
      </c>
      <c r="B159" t="str" cm="1">
        <f t="array" ref="B159">SLOOKUP(A159,H:H,H:H,0.6,0)</f>
        <v>Virtusa</v>
      </c>
      <c r="C159" s="3" cm="1">
        <f t="array" ref="C159">IF(B159&lt;&gt;"",SimpleSim(A159,B159),"")</f>
        <v>1</v>
      </c>
      <c r="E159" t="str" cm="1">
        <f t="array" ref="E159">LLOOKUP(A159,H:H,H:H,0.6,0)</f>
        <v>Virtusa</v>
      </c>
      <c r="F159" s="3" cm="1">
        <f t="array" ref="F159">IF(E159&lt;&gt;"",LevenshteinSimilarity(A159,E159),"")</f>
        <v>1</v>
      </c>
      <c r="H159" t="s">
        <v>172</v>
      </c>
      <c r="I159">
        <v>94040</v>
      </c>
    </row>
    <row r="160" spans="1:9">
      <c r="A160" t="str">
        <f>SUBSTITUTE(SUBSTITUTE(Example1!A160,"www.",""),".com","")</f>
        <v>wealthfront</v>
      </c>
      <c r="B160" t="str" cm="1">
        <f t="array" ref="B160">SLOOKUP(A160,H:H,H:H,0.6,0)</f>
        <v>Wealthfront</v>
      </c>
      <c r="C160" s="3" cm="1">
        <f t="array" ref="C160">IF(B160&lt;&gt;"",SimpleSim(A160,B160),"")</f>
        <v>1</v>
      </c>
      <c r="E160" t="str" cm="1">
        <f t="array" ref="E160">LLOOKUP(A160,H:H,H:H,0.6,0)</f>
        <v>Wealthfront</v>
      </c>
      <c r="F160" s="3" cm="1">
        <f t="array" ref="F160">IF(E160&lt;&gt;"",LevenshteinSimilarity(A160,E160),"")</f>
        <v>1</v>
      </c>
      <c r="H160" t="s">
        <v>173</v>
      </c>
      <c r="I160">
        <v>94025</v>
      </c>
    </row>
    <row r="161" spans="1:9">
      <c r="A161" t="str">
        <f>SUBSTITUTE(SUBSTITUTE(Example1!A161,"www.",""),".com","")</f>
        <v>whatsapp</v>
      </c>
      <c r="B161" t="str" cm="1">
        <f t="array" ref="B161">SLOOKUP(A161,H:H,H:H,0.6,0)</f>
        <v>WhatsApp</v>
      </c>
      <c r="C161" s="3" cm="1">
        <f t="array" ref="C161">IF(B161&lt;&gt;"",SimpleSim(A161,B161),"")</f>
        <v>1</v>
      </c>
      <c r="E161" t="str" cm="1">
        <f t="array" ref="E161">LLOOKUP(A161,H:H,H:H,0.6,0)</f>
        <v>WhatsApp</v>
      </c>
      <c r="F161" s="3" cm="1">
        <f t="array" ref="F161">IF(E161&lt;&gt;"",LevenshteinSimilarity(A161,E161),"")</f>
        <v>1</v>
      </c>
      <c r="H161" t="s">
        <v>174</v>
      </c>
      <c r="I161">
        <v>95110</v>
      </c>
    </row>
    <row r="162" spans="1:9">
      <c r="A162" t="str">
        <f>SUBSTITUTE(SUBSTITUTE(Example1!A162,"www.",""),".com","")</f>
        <v>wiser</v>
      </c>
      <c r="B162" t="str" cm="1">
        <f t="array" ref="B162">SLOOKUP(A162,H:H,H:H,0.6,0)</f>
        <v>Wiser Solutions</v>
      </c>
      <c r="C162" s="3" cm="1">
        <f t="array" ref="C162">IF(B162&lt;&gt;"",SimpleSim(A162,B162),"")</f>
        <v>1</v>
      </c>
      <c r="E162" t="str" cm="1">
        <f t="array" ref="E162">LLOOKUP(A162,H:H,H:H,0.6,0)</f>
        <v/>
      </c>
      <c r="F162" s="3" t="str" cm="1">
        <f t="array" ref="F162">IF(E162&lt;&gt;"",LevenshteinSimilarity(A162,E162),"")</f>
        <v/>
      </c>
      <c r="H162" t="s">
        <v>175</v>
      </c>
      <c r="I162">
        <v>95112</v>
      </c>
    </row>
    <row r="163" spans="1:9">
      <c r="A163" t="str">
        <f>SUBSTITUTE(SUBSTITUTE(Example1!A163,"www.",""),".com","")</f>
        <v>workboard</v>
      </c>
      <c r="B163" t="str" cm="1">
        <f t="array" ref="B163">SLOOKUP(A163,H:H,H:H,0.6,0)</f>
        <v>WorkBoard</v>
      </c>
      <c r="C163" s="3" cm="1">
        <f t="array" ref="C163">IF(B163&lt;&gt;"",SimpleSim(A163,B163),"")</f>
        <v>1</v>
      </c>
      <c r="E163" t="str" cm="1">
        <f t="array" ref="E163">LLOOKUP(A163,H:H,H:H,0.6,0)</f>
        <v>WorkBoard</v>
      </c>
      <c r="F163" s="3" cm="1">
        <f t="array" ref="F163">IF(E163&lt;&gt;"",LevenshteinSimilarity(A163,E163),"")</f>
        <v>1</v>
      </c>
      <c r="H163" t="s">
        <v>176</v>
      </c>
      <c r="I163">
        <v>94025</v>
      </c>
    </row>
    <row r="164" spans="1:9">
      <c r="A164" t="str">
        <f>SUBSTITUTE(SUBSTITUTE(Example1!A164,"www.",""),".com","")</f>
        <v>accel</v>
      </c>
      <c r="B164" t="str" cm="1">
        <f t="array" ref="B164">SLOOKUP(A164,H:H,H:H,0.6,0)</f>
        <v>Accel</v>
      </c>
      <c r="C164" s="3" cm="1">
        <f t="array" ref="C164">IF(B164&lt;&gt;"",SimpleSim(A164,B164),"")</f>
        <v>1</v>
      </c>
      <c r="E164" t="str" cm="1">
        <f t="array" ref="E164">LLOOKUP(A164,H:H,H:H,0.6,0)</f>
        <v>Accel</v>
      </c>
      <c r="F164" s="3" cm="1">
        <f t="array" ref="F164">IF(E164&lt;&gt;"",LevenshteinSimilarity(A164,E164),"")</f>
        <v>1</v>
      </c>
      <c r="H164" t="s">
        <v>177</v>
      </c>
      <c r="I164">
        <v>94085</v>
      </c>
    </row>
    <row r="165" spans="1:9">
      <c r="A165" t="str">
        <f>SUBSTITUTE(SUBSTITUTE(Example1!A165,"www.",""),".com","")</f>
        <v>adeccogroup</v>
      </c>
      <c r="B165" t="str" cm="1">
        <f t="array" ref="B165">SLOOKUP(A165,H:H,H:H,0.6,0)</f>
        <v>Adecco Group</v>
      </c>
      <c r="C165" s="3" cm="1">
        <f t="array" ref="C165">IF(B165&lt;&gt;"",SimpleSim(A165,B165),"")</f>
        <v>0.95454545454545459</v>
      </c>
      <c r="E165" t="str" cm="1">
        <f t="array" ref="E165">LLOOKUP(A165,H:H,H:H,0.6,0)</f>
        <v>Adecco Group</v>
      </c>
      <c r="F165" s="3" cm="1">
        <f t="array" ref="F165">IF(E165&lt;&gt;"",LevenshteinSimilarity(A165,E165),"")</f>
        <v>0.90909090909090906</v>
      </c>
      <c r="H165" t="s">
        <v>178</v>
      </c>
      <c r="I165">
        <v>94043</v>
      </c>
    </row>
    <row r="166" spans="1:9">
      <c r="A166" t="str">
        <f>SUBSTITUTE(SUBSTITUTE(Example1!A166,"www.",""),".com","")</f>
        <v>adobe</v>
      </c>
      <c r="B166" t="str" cm="1">
        <f t="array" ref="B166">SLOOKUP(A166,H:H,H:H,0.6,0)</f>
        <v>Adobe</v>
      </c>
      <c r="C166" s="3" cm="1">
        <f t="array" ref="C166">IF(B166&lt;&gt;"",SimpleSim(A166,B166),"")</f>
        <v>1</v>
      </c>
      <c r="E166" t="str" cm="1">
        <f t="array" ref="E166">LLOOKUP(A166,H:H,H:H,0.6,0)</f>
        <v>Adobe</v>
      </c>
      <c r="F166" s="3" cm="1">
        <f t="array" ref="F166">IF(E166&lt;&gt;"",LevenshteinSimilarity(A166,E166),"")</f>
        <v>1</v>
      </c>
      <c r="H166" t="s">
        <v>179</v>
      </c>
      <c r="I166">
        <v>95112</v>
      </c>
    </row>
    <row r="167" spans="1:9">
      <c r="A167" t="str">
        <f>SUBSTITUTE(SUBSTITUTE(Example1!A167,"www.",""),".com","")</f>
        <v>alienvault</v>
      </c>
      <c r="B167" t="str" cm="1">
        <f t="array" ref="B167">SLOOKUP(A167,H:H,H:H,0.6,0)</f>
        <v>AlienVault</v>
      </c>
      <c r="C167" s="3" cm="1">
        <f t="array" ref="C167">IF(B167&lt;&gt;"",SimpleSim(A167,B167),"")</f>
        <v>1</v>
      </c>
      <c r="E167" t="str" cm="1">
        <f t="array" ref="E167">LLOOKUP(A167,H:H,H:H,0.6,0)</f>
        <v>AlienVault</v>
      </c>
      <c r="F167" s="3" cm="1">
        <f t="array" ref="F167">IF(E167&lt;&gt;"",LevenshteinSimilarity(A167,E167),"")</f>
        <v>1</v>
      </c>
      <c r="H167" t="s">
        <v>180</v>
      </c>
      <c r="I167">
        <v>95050</v>
      </c>
    </row>
    <row r="168" spans="1:9">
      <c r="A168" t="str">
        <f>SUBSTITUTE(SUBSTITUTE(Example1!A168,"www.",""),".com","")</f>
        <v>amd</v>
      </c>
      <c r="B168" t="str" cm="1">
        <f t="array" ref="B168">SLOOKUP(A168,H:H,H:H,0.6,0)</f>
        <v>AMD</v>
      </c>
      <c r="C168" s="3" cm="1">
        <f t="array" ref="C168">IF(B168&lt;&gt;"",SimpleSim(A168,B168),"")</f>
        <v>1</v>
      </c>
      <c r="E168" t="str" cm="1">
        <f t="array" ref="E168">LLOOKUP(A168,H:H,H:H,0.6,0)</f>
        <v>AMD</v>
      </c>
      <c r="F168" s="3" cm="1">
        <f t="array" ref="F168">IF(E168&lt;&gt;"",LevenshteinSimilarity(A168,E168),"")</f>
        <v>1</v>
      </c>
      <c r="H168" t="s">
        <v>181</v>
      </c>
      <c r="I168">
        <v>94402</v>
      </c>
    </row>
    <row r="169" spans="1:9">
      <c r="A169" t="str">
        <f>SUBSTITUTE(SUBSTITUTE(Example1!A169,"www.",""),".com","")</f>
        <v>amplypower</v>
      </c>
      <c r="B169" t="str" cm="1">
        <f t="array" ref="B169">SLOOKUP(A169,H:H,H:H,0.6,0)</f>
        <v>Amply Power</v>
      </c>
      <c r="C169" s="3" cm="1">
        <f t="array" ref="C169">IF(B169&lt;&gt;"",SimpleSim(A169,B169),"")</f>
        <v>0.95</v>
      </c>
      <c r="E169" t="str" cm="1">
        <f t="array" ref="E169">LLOOKUP(A169,H:H,H:H,0.6,0)</f>
        <v>Amply Power</v>
      </c>
      <c r="F169" s="3" cm="1">
        <f t="array" ref="F169">IF(E169&lt;&gt;"",LevenshteinSimilarity(A169,E169),"")</f>
        <v>0.9</v>
      </c>
      <c r="H169" t="s">
        <v>182</v>
      </c>
      <c r="I169">
        <v>94025</v>
      </c>
    </row>
    <row r="170" spans="1:9">
      <c r="A170" t="str">
        <f>SUBSTITUTE(SUBSTITUTE(Example1!A170,"www.",""),".com","")</f>
        <v>apple</v>
      </c>
      <c r="B170" t="str" cm="1">
        <f t="array" ref="B170">SLOOKUP(A170,H:H,H:H,0.6,0)</f>
        <v>Apple</v>
      </c>
      <c r="C170" s="3" cm="1">
        <f t="array" ref="C170">IF(B170&lt;&gt;"",SimpleSim(A170,B170),"")</f>
        <v>1</v>
      </c>
      <c r="E170" t="str" cm="1">
        <f t="array" ref="E170">LLOOKUP(A170,H:H,H:H,0.6,0)</f>
        <v>Apple</v>
      </c>
      <c r="F170" s="3" cm="1">
        <f t="array" ref="F170">IF(E170&lt;&gt;"",LevenshteinSimilarity(A170,E170),"")</f>
        <v>1</v>
      </c>
      <c r="H170" t="s">
        <v>183</v>
      </c>
      <c r="I170">
        <v>94065</v>
      </c>
    </row>
    <row r="171" spans="1:9">
      <c r="A171" t="str">
        <f>SUBSTITUTE(SUBSTITUTE(Example1!A171,"www.",""),".com","")</f>
        <v>armory.io</v>
      </c>
      <c r="B171" t="str" cm="1">
        <f t="array" ref="B171">SLOOKUP(A171,H:H,H:H,0.6,0)</f>
        <v>Armory</v>
      </c>
      <c r="C171" s="3" cm="1">
        <f t="array" ref="C171">IF(B171&lt;&gt;"",SimpleSim(A171,B171),"")</f>
        <v>0.69444444444444442</v>
      </c>
      <c r="E171" t="str" cm="1">
        <f t="array" ref="E171">LLOOKUP(A171,H:H,H:H,0.6,0)</f>
        <v>Armory</v>
      </c>
      <c r="F171" s="3" cm="1">
        <f t="array" ref="F171">IF(E171&lt;&gt;"",LevenshteinSimilarity(A171,E171),"")</f>
        <v>0.66666666666666663</v>
      </c>
      <c r="H171" t="s">
        <v>184</v>
      </c>
      <c r="I171">
        <v>94022</v>
      </c>
    </row>
    <row r="172" spans="1:9">
      <c r="A172" t="str">
        <f>SUBSTITUTE(SUBSTITUTE(Example1!A172,"www.",""),".com","")</f>
        <v>asus</v>
      </c>
      <c r="B172" t="str" cm="1">
        <f t="array" ref="B172">SLOOKUP(A172,H:H,H:H,0.6,0)</f>
        <v>ASUS</v>
      </c>
      <c r="C172" s="3" cm="1">
        <f t="array" ref="C172">IF(B172&lt;&gt;"",SimpleSim(A172,B172),"")</f>
        <v>1</v>
      </c>
      <c r="E172" t="str" cm="1">
        <f t="array" ref="E172">LLOOKUP(A172,H:H,H:H,0.6,0)</f>
        <v>ASUS</v>
      </c>
      <c r="F172" s="3" cm="1">
        <f t="array" ref="F172">IF(E172&lt;&gt;"",LevenshteinSimilarity(A172,E172),"")</f>
        <v>1</v>
      </c>
      <c r="H172" t="s">
        <v>185</v>
      </c>
      <c r="I172">
        <v>94301</v>
      </c>
    </row>
    <row r="173" spans="1:9">
      <c r="A173" t="str">
        <f>SUBSTITUTE(SUBSTITUTE(Example1!A173,"www.",""),".com","")</f>
        <v>barracuda</v>
      </c>
      <c r="B173" t="str" cm="1">
        <f t="array" ref="B173">SLOOKUP(A173,H:H,H:H,0.6,0)</f>
        <v>Barracuda</v>
      </c>
      <c r="C173" s="3" cm="1">
        <f t="array" ref="C173">IF(B173&lt;&gt;"",SimpleSim(A173,B173),"")</f>
        <v>1</v>
      </c>
      <c r="E173" t="str" cm="1">
        <f t="array" ref="E173">LLOOKUP(A173,H:H,H:H,0.6,0)</f>
        <v>Barracuda</v>
      </c>
      <c r="F173" s="3" cm="1">
        <f t="array" ref="F173">IF(E173&lt;&gt;"",LevenshteinSimilarity(A173,E173),"")</f>
        <v>1</v>
      </c>
      <c r="H173" t="s">
        <v>186</v>
      </c>
      <c r="I173">
        <v>94303</v>
      </c>
    </row>
    <row r="174" spans="1:9">
      <c r="A174" t="str">
        <f>SUBSTITUTE(SUBSTITUTE(Example1!A174,"www.",""),".com","")</f>
        <v>bluejeans</v>
      </c>
      <c r="B174" t="str" cm="1">
        <f t="array" ref="B174">SLOOKUP(A174,H:H,H:H,0.6,0)</f>
        <v>BlueJeans</v>
      </c>
      <c r="C174" s="3" cm="1">
        <f t="array" ref="C174">IF(B174&lt;&gt;"",SimpleSim(A174,B174),"")</f>
        <v>1</v>
      </c>
      <c r="E174" t="str" cm="1">
        <f t="array" ref="E174">LLOOKUP(A174,H:H,H:H,0.6,0)</f>
        <v>BlueJeans</v>
      </c>
      <c r="F174" s="3" cm="1">
        <f t="array" ref="F174">IF(E174&lt;&gt;"",LevenshteinSimilarity(A174,E174),"")</f>
        <v>1</v>
      </c>
      <c r="H174" t="s">
        <v>187</v>
      </c>
      <c r="I174">
        <v>95131</v>
      </c>
    </row>
    <row r="175" spans="1:9">
      <c r="A175" t="str">
        <f>SUBSTITUTE(SUBSTITUTE(Example1!A175,"www.",""),".com","")</f>
        <v>bluerivertechnology</v>
      </c>
      <c r="B175" t="str" cm="1">
        <f t="array" ref="B175">SLOOKUP(A175,H:H,H:H,0.6,0)</f>
        <v>Blue River Technology</v>
      </c>
      <c r="C175" s="3" cm="1">
        <f t="array" ref="C175">IF(B175&lt;&gt;"",SimpleSim(A175,B175),"")</f>
        <v>0.94736842105263153</v>
      </c>
      <c r="E175" t="str" cm="1">
        <f t="array" ref="E175">LLOOKUP(A175,H:H,H:H,0.6,0)</f>
        <v>Blue River Technology</v>
      </c>
      <c r="F175" s="3" cm="1">
        <f t="array" ref="F175">IF(E175&lt;&gt;"",LevenshteinSimilarity(A175,E175),"")</f>
        <v>0.89473684210526316</v>
      </c>
      <c r="H175" t="s">
        <v>188</v>
      </c>
      <c r="I175">
        <v>94065</v>
      </c>
    </row>
    <row r="176" spans="1:9">
      <c r="A176" t="str">
        <f>SUBSTITUTE(SUBSTITUTE(Example1!A176,"www.",""),".com","")</f>
        <v>brillio</v>
      </c>
      <c r="B176" t="str" cm="1">
        <f t="array" ref="B176">SLOOKUP(A176,H:H,H:H,0.6,0)</f>
        <v>Brillio</v>
      </c>
      <c r="C176" s="3" cm="1">
        <f t="array" ref="C176">IF(B176&lt;&gt;"",SimpleSim(A176,B176),"")</f>
        <v>1</v>
      </c>
      <c r="E176" t="str" cm="1">
        <f t="array" ref="E176">LLOOKUP(A176,H:H,H:H,0.6,0)</f>
        <v>Brillio</v>
      </c>
      <c r="F176" s="3" cm="1">
        <f t="array" ref="F176">IF(E176&lt;&gt;"",LevenshteinSimilarity(A176,E176),"")</f>
        <v>1</v>
      </c>
      <c r="H176" t="s">
        <v>189</v>
      </c>
      <c r="I176">
        <v>94065</v>
      </c>
    </row>
    <row r="177" spans="1:9">
      <c r="A177" t="str">
        <f>SUBSTITUTE(SUBSTITUTE(Example1!A177,"www.",""),".com","")</f>
        <v>broadcom</v>
      </c>
      <c r="B177" t="str" cm="1">
        <f t="array" ref="B177">SLOOKUP(A177,H:H,H:H,0.6,0)</f>
        <v>Broadcom</v>
      </c>
      <c r="C177" s="3" cm="1">
        <f t="array" ref="C177">IF(B177&lt;&gt;"",SimpleSim(A177,B177),"")</f>
        <v>1</v>
      </c>
      <c r="E177" t="str" cm="1">
        <f t="array" ref="E177">LLOOKUP(A177,H:H,H:H,0.6,0)</f>
        <v>Broadcom</v>
      </c>
      <c r="F177" s="3" cm="1">
        <f t="array" ref="F177">IF(E177&lt;&gt;"",LevenshteinSimilarity(A177,E177),"")</f>
        <v>1</v>
      </c>
      <c r="H177" t="s">
        <v>190</v>
      </c>
      <c r="I177">
        <v>94089</v>
      </c>
    </row>
    <row r="178" spans="1:9">
      <c r="A178" t="str">
        <f>SUBSTITUTE(SUBSTITUTE(Example1!A178,"www.",""),".com","")</f>
        <v>cadence</v>
      </c>
      <c r="B178" t="str" cm="1">
        <f t="array" ref="B178">SLOOKUP(A178,H:H,H:H,0.6,0)</f>
        <v>Cadence Design Systems</v>
      </c>
      <c r="C178" s="3" cm="1">
        <f t="array" ref="C178">IF(B178&lt;&gt;"",SimpleSim(A178,B178),"")</f>
        <v>1</v>
      </c>
      <c r="E178" t="str" cm="1">
        <f t="array" ref="E178">LLOOKUP(A178,H:H,H:H,0.6,0)</f>
        <v/>
      </c>
      <c r="F178" s="3" t="str" cm="1">
        <f t="array" ref="F178">IF(E178&lt;&gt;"",LevenshteinSimilarity(A178,E178),"")</f>
        <v/>
      </c>
      <c r="H178" t="s">
        <v>191</v>
      </c>
      <c r="I178">
        <v>94065</v>
      </c>
    </row>
    <row r="179" spans="1:9">
      <c r="A179" t="str">
        <f>SUBSTITUTE(SUBSTITUTE(Example1!A179,"www.",""),".com","")</f>
        <v>chegg</v>
      </c>
      <c r="B179" t="str" cm="1">
        <f t="array" ref="B179">SLOOKUP(A179,H:H,H:H,0.6,0)</f>
        <v>Chegg</v>
      </c>
      <c r="C179" s="3" cm="1">
        <f t="array" ref="C179">IF(B179&lt;&gt;"",SimpleSim(A179,B179),"")</f>
        <v>1</v>
      </c>
      <c r="E179" t="str" cm="1">
        <f t="array" ref="E179">LLOOKUP(A179,H:H,H:H,0.6,0)</f>
        <v>Chegg</v>
      </c>
      <c r="F179" s="3" cm="1">
        <f t="array" ref="F179">IF(E179&lt;&gt;"",LevenshteinSimilarity(A179,E179),"")</f>
        <v>1</v>
      </c>
      <c r="H179" t="s">
        <v>192</v>
      </c>
      <c r="I179">
        <v>94404</v>
      </c>
    </row>
    <row r="180" spans="1:9">
      <c r="A180" t="str">
        <f>SUBSTITUTE(SUBSTITUTE(Example1!A180,"www.",""),".com","")</f>
        <v>claraanalytics</v>
      </c>
      <c r="B180" t="str" cm="1">
        <f t="array" ref="B180">SLOOKUP(A180,H:H,H:H,0.6,0)</f>
        <v>Clara Analytics</v>
      </c>
      <c r="C180" s="3" cm="1">
        <f t="array" ref="C180">IF(B180&lt;&gt;"",SimpleSim(A180,B180),"")</f>
        <v>0.9642857142857143</v>
      </c>
      <c r="E180" t="str" cm="1">
        <f t="array" ref="E180">LLOOKUP(A180,H:H,H:H,0.6,0)</f>
        <v>Clara Analytics</v>
      </c>
      <c r="F180" s="3" cm="1">
        <f t="array" ref="F180">IF(E180&lt;&gt;"",LevenshteinSimilarity(A180,E180),"")</f>
        <v>0.9285714285714286</v>
      </c>
      <c r="H180" t="s">
        <v>193</v>
      </c>
      <c r="I180">
        <v>94041</v>
      </c>
    </row>
    <row r="181" spans="1:9">
      <c r="A181" t="str">
        <f>SUBSTITUTE(SUBSTITUTE(Example1!A181,"www.",""),".com","")</f>
        <v>cloudbees</v>
      </c>
      <c r="B181" t="str" cm="1">
        <f t="array" ref="B181">SLOOKUP(A181,H:H,H:H,0.6,0)</f>
        <v>Cloudbees</v>
      </c>
      <c r="C181" s="3" cm="1">
        <f t="array" ref="C181">IF(B181&lt;&gt;"",SimpleSim(A181,B181),"")</f>
        <v>1</v>
      </c>
      <c r="E181" t="str" cm="1">
        <f t="array" ref="E181">LLOOKUP(A181,H:H,H:H,0.6,0)</f>
        <v>Cloudbees</v>
      </c>
      <c r="F181" s="3" cm="1">
        <f t="array" ref="F181">IF(E181&lt;&gt;"",LevenshteinSimilarity(A181,E181),"")</f>
        <v>1</v>
      </c>
      <c r="H181" t="s">
        <v>194</v>
      </c>
      <c r="I181">
        <v>94065</v>
      </c>
    </row>
    <row r="182" spans="1:9">
      <c r="A182" t="str">
        <f>SUBSTITUTE(SUBSTITUTE(Example1!A182,"www.",""),".com","")</f>
        <v>coursehero</v>
      </c>
      <c r="B182" t="str" cm="1">
        <f t="array" ref="B182">SLOOKUP(A182,H:H,H:H,0.6,0)</f>
        <v>Course Hero</v>
      </c>
      <c r="C182" s="3" cm="1">
        <f t="array" ref="C182">IF(B182&lt;&gt;"",SimpleSim(A182,B182),"")</f>
        <v>0.95</v>
      </c>
      <c r="E182" t="str" cm="1">
        <f t="array" ref="E182">LLOOKUP(A182,H:H,H:H,0.6,0)</f>
        <v>Course Hero</v>
      </c>
      <c r="F182" s="3" cm="1">
        <f t="array" ref="F182">IF(E182&lt;&gt;"",LevenshteinSimilarity(A182,E182),"")</f>
        <v>0.9</v>
      </c>
      <c r="H182" t="s">
        <v>195</v>
      </c>
      <c r="I182">
        <v>95110</v>
      </c>
    </row>
    <row r="183" spans="1:9">
      <c r="A183" t="str">
        <f>SUBSTITUTE(SUBSTITUTE(Example1!A183,"www.",""),".com","")</f>
        <v>coursera.org</v>
      </c>
      <c r="B183" t="str" cm="1">
        <f t="array" ref="B183">SLOOKUP(A183,H:H,H:H,0.6,0)</f>
        <v>Coursera</v>
      </c>
      <c r="C183" s="3" cm="1">
        <f t="array" ref="C183">IF(B183&lt;&gt;"",SimpleSim(A183,B183),"")</f>
        <v>0.75</v>
      </c>
      <c r="E183" t="str" cm="1">
        <f t="array" ref="E183">LLOOKUP(A183,H:H,H:H,0.6,0)</f>
        <v>Coursera</v>
      </c>
      <c r="F183" s="3" cm="1">
        <f t="array" ref="F183">IF(E183&lt;&gt;"",LevenshteinSimilarity(A183,E183),"")</f>
        <v>0.66666666666666663</v>
      </c>
      <c r="H183" t="s">
        <v>196</v>
      </c>
      <c r="I183">
        <v>94107</v>
      </c>
    </row>
    <row r="184" spans="1:9">
      <c r="A184" t="str">
        <f>SUBSTITUTE(SUBSTITUTE(Example1!A184,"www.",""),".com","")</f>
        <v>diffbot</v>
      </c>
      <c r="B184" t="str" cm="1">
        <f t="array" ref="B184">SLOOKUP(A184,H:H,H:H,0.6,0)</f>
        <v>Diffbot</v>
      </c>
      <c r="C184" s="3" cm="1">
        <f t="array" ref="C184">IF(B184&lt;&gt;"",SimpleSim(A184,B184),"")</f>
        <v>1</v>
      </c>
      <c r="E184" t="str" cm="1">
        <f t="array" ref="E184">LLOOKUP(A184,H:H,H:H,0.6,0)</f>
        <v>Diffbot</v>
      </c>
      <c r="F184" s="3" cm="1">
        <f t="array" ref="F184">IF(E184&lt;&gt;"",LevenshteinSimilarity(A184,E184),"")</f>
        <v>1</v>
      </c>
      <c r="H184" t="s">
        <v>197</v>
      </c>
      <c r="I184">
        <v>94025</v>
      </c>
    </row>
    <row r="185" spans="1:9">
      <c r="A185" t="str">
        <f>SUBSTITUTE(SUBSTITUTE(Example1!A185,"www.",""),".com","")</f>
        <v>ebay</v>
      </c>
      <c r="B185" t="str" cm="1">
        <f t="array" ref="B185">SLOOKUP(A185,H:H,H:H,0.6,0)</f>
        <v>eBay</v>
      </c>
      <c r="C185" s="3" cm="1">
        <f t="array" ref="C185">IF(B185&lt;&gt;"",SimpleSim(A185,B185),"")</f>
        <v>1</v>
      </c>
      <c r="E185" t="str" cm="1">
        <f t="array" ref="E185">LLOOKUP(A185,H:H,H:H,0.6,0)</f>
        <v>eBay</v>
      </c>
      <c r="F185" s="3" cm="1">
        <f t="array" ref="F185">IF(E185&lt;&gt;"",LevenshteinSimilarity(A185,E185),"")</f>
        <v>1</v>
      </c>
      <c r="H185" t="s">
        <v>198</v>
      </c>
      <c r="I185">
        <v>94063</v>
      </c>
    </row>
    <row r="186" spans="1:9">
      <c r="A186" t="str">
        <f>SUBSTITUTE(SUBSTITUTE(Example1!A186,"www.",""),".com","")</f>
        <v>facebook</v>
      </c>
      <c r="B186" t="str" cm="1">
        <f t="array" ref="B186">SLOOKUP(A186,H:H,H:H,0.6,0)</f>
        <v>Facebook</v>
      </c>
      <c r="C186" s="3" cm="1">
        <f t="array" ref="C186">IF(B186&lt;&gt;"",SimpleSim(A186,B186),"")</f>
        <v>1</v>
      </c>
      <c r="E186" t="str" cm="1">
        <f t="array" ref="E186">LLOOKUP(A186,H:H,H:H,0.6,0)</f>
        <v>Facebook</v>
      </c>
      <c r="F186" s="3" cm="1">
        <f t="array" ref="F186">IF(E186&lt;&gt;"",LevenshteinSimilarity(A186,E186),"")</f>
        <v>1</v>
      </c>
      <c r="H186" t="s">
        <v>199</v>
      </c>
      <c r="I186">
        <v>94002</v>
      </c>
    </row>
    <row r="187" spans="1:9">
      <c r="A187" t="str">
        <f>SUBSTITUTE(SUBSTITUTE(Example1!A187,"www.",""),".com","")</f>
        <v>filemaker</v>
      </c>
      <c r="B187" t="str" cm="1">
        <f t="array" ref="B187">SLOOKUP(A187,H:H,H:H,0.6,0)</f>
        <v>FileMaker</v>
      </c>
      <c r="C187" s="3" cm="1">
        <f t="array" ref="C187">IF(B187&lt;&gt;"",SimpleSim(A187,B187),"")</f>
        <v>1</v>
      </c>
      <c r="E187" t="str" cm="1">
        <f t="array" ref="E187">LLOOKUP(A187,H:H,H:H,0.6,0)</f>
        <v>FileMaker</v>
      </c>
      <c r="F187" s="3" cm="1">
        <f t="array" ref="F187">IF(E187&lt;&gt;"",LevenshteinSimilarity(A187,E187),"")</f>
        <v>1</v>
      </c>
      <c r="H187" t="s">
        <v>200</v>
      </c>
      <c r="I187">
        <v>94306</v>
      </c>
    </row>
    <row r="188" spans="1:9">
      <c r="A188" t="str">
        <f>SUBSTITUTE(SUBSTITUTE(Example1!A188,"www.",""),".com","")</f>
        <v>gofundme</v>
      </c>
      <c r="B188" t="str" cm="1">
        <f t="array" ref="B188">SLOOKUP(A188,H:H,H:H,0.6,0)</f>
        <v>GoFundMe</v>
      </c>
      <c r="C188" s="3" cm="1">
        <f t="array" ref="C188">IF(B188&lt;&gt;"",SimpleSim(A188,B188),"")</f>
        <v>1</v>
      </c>
      <c r="E188" t="str" cm="1">
        <f t="array" ref="E188">LLOOKUP(A188,H:H,H:H,0.6,0)</f>
        <v>GoFundMe</v>
      </c>
      <c r="F188" s="3" cm="1">
        <f t="array" ref="F188">IF(E188&lt;&gt;"",LevenshteinSimilarity(A188,E188),"")</f>
        <v>1</v>
      </c>
      <c r="H188" t="s">
        <v>201</v>
      </c>
      <c r="I188">
        <v>94403</v>
      </c>
    </row>
    <row r="189" spans="1:9">
      <c r="A189" t="str">
        <f>SUBSTITUTE(SUBSTITUTE(Example1!A189,"www.",""),".com","")</f>
        <v>gong.io</v>
      </c>
      <c r="B189" t="str" cm="1">
        <f t="array" ref="B189">SLOOKUP(A189,H:H,H:H,0.6,0)</f>
        <v>Gong.io</v>
      </c>
      <c r="C189" s="3" cm="1">
        <f t="array" ref="C189">IF(B189&lt;&gt;"",SimpleSim(A189,B189),"")</f>
        <v>1</v>
      </c>
      <c r="E189" t="str" cm="1">
        <f t="array" ref="E189">LLOOKUP(A189,H:H,H:H,0.6,0)</f>
        <v>Gong.io</v>
      </c>
      <c r="F189" s="3" cm="1">
        <f t="array" ref="F189">IF(E189&lt;&gt;"",LevenshteinSimilarity(A189,E189),"")</f>
        <v>1</v>
      </c>
      <c r="H189" t="s">
        <v>202</v>
      </c>
      <c r="I189">
        <v>95032</v>
      </c>
    </row>
    <row r="190" spans="1:9">
      <c r="A190" t="str">
        <f>SUBSTITUTE(SUBSTITUTE(Example1!A190,"www.",""),".com","")</f>
        <v>greenbits</v>
      </c>
      <c r="B190" t="str" cm="1">
        <f t="array" ref="B190">SLOOKUP(A190,H:H,H:H,0.6,0)</f>
        <v>Green Bits</v>
      </c>
      <c r="C190" s="3" cm="1">
        <f t="array" ref="C190">IF(B190&lt;&gt;"",SimpleSim(A190,B190),"")</f>
        <v>0.94444444444444442</v>
      </c>
      <c r="E190" t="str" cm="1">
        <f t="array" ref="E190">LLOOKUP(A190,H:H,H:H,0.6,0)</f>
        <v>Green Bits</v>
      </c>
      <c r="F190" s="3" cm="1">
        <f t="array" ref="F190">IF(E190&lt;&gt;"",LevenshteinSimilarity(A190,E190),"")</f>
        <v>0.88888888888888884</v>
      </c>
      <c r="H190" t="s">
        <v>203</v>
      </c>
      <c r="I190">
        <v>95035</v>
      </c>
    </row>
    <row r="191" spans="1:9">
      <c r="A191" t="str">
        <f>SUBSTITUTE(SUBSTITUTE(Example1!A191,"www.",""),".com","")</f>
        <v>gsrventures</v>
      </c>
      <c r="B191" t="str" cm="1">
        <f t="array" ref="B191">SLOOKUP(A191,H:H,H:H,0.6,0)</f>
        <v>GSR Ventures</v>
      </c>
      <c r="C191" s="3" cm="1">
        <f t="array" ref="C191">IF(B191&lt;&gt;"",SimpleSim(A191,B191),"")</f>
        <v>0.95454545454545459</v>
      </c>
      <c r="E191" t="str" cm="1">
        <f t="array" ref="E191">LLOOKUP(A191,H:H,H:H,0.6,0)</f>
        <v>GSR Ventures</v>
      </c>
      <c r="F191" s="3" cm="1">
        <f t="array" ref="F191">IF(E191&lt;&gt;"",LevenshteinSimilarity(A191,E191),"")</f>
        <v>0.90909090909090906</v>
      </c>
      <c r="H191" t="s">
        <v>204</v>
      </c>
      <c r="I191">
        <v>94304</v>
      </c>
    </row>
    <row r="192" spans="1:9">
      <c r="A192" t="str">
        <f>SUBSTITUTE(SUBSTITUTE(Example1!A192,"www.",""),".com","")</f>
        <v>gv</v>
      </c>
      <c r="B192" t="str" cm="1">
        <f t="array" ref="B192">SLOOKUP(A192,H:H,H:H,0.6,0)</f>
        <v>GV</v>
      </c>
      <c r="C192" s="3" cm="1">
        <f t="array" ref="C192">IF(B192&lt;&gt;"",SimpleSim(A192,B192),"")</f>
        <v>1</v>
      </c>
      <c r="E192" t="str" cm="1">
        <f t="array" ref="E192">LLOOKUP(A192,H:H,H:H,0.6,0)</f>
        <v>GV</v>
      </c>
      <c r="F192" s="3" cm="1">
        <f t="array" ref="F192">IF(E192&lt;&gt;"",LevenshteinSimilarity(A192,E192),"")</f>
        <v>1</v>
      </c>
      <c r="H192" t="s">
        <v>205</v>
      </c>
      <c r="I192">
        <v>94401</v>
      </c>
    </row>
    <row r="193" spans="1:9">
      <c r="A193" t="str">
        <f>SUBSTITUTE(SUBSTITUTE(Example1!A193,"www.",""),".com","")</f>
        <v>hiretual</v>
      </c>
      <c r="B193" t="str" cm="1">
        <f t="array" ref="B193">SLOOKUP(A193,H:H,H:H,0.6,0)</f>
        <v>Hiretual</v>
      </c>
      <c r="C193" s="3" cm="1">
        <f t="array" ref="C193">IF(B193&lt;&gt;"",SimpleSim(A193,B193),"")</f>
        <v>1</v>
      </c>
      <c r="E193" t="str" cm="1">
        <f t="array" ref="E193">LLOOKUP(A193,H:H,H:H,0.6,0)</f>
        <v>Hiretual</v>
      </c>
      <c r="F193" s="3" cm="1">
        <f t="array" ref="F193">IF(E193&lt;&gt;"",LevenshteinSimilarity(A193,E193),"")</f>
        <v>1</v>
      </c>
      <c r="H193" t="s">
        <v>206</v>
      </c>
      <c r="I193">
        <v>95014</v>
      </c>
    </row>
    <row r="194" spans="1:9">
      <c r="A194" t="str">
        <f>SUBSTITUTE(SUBSTITUTE(Example1!A194,"www.",""),".com","")</f>
        <v>intuit</v>
      </c>
      <c r="B194" t="str" cm="1">
        <f t="array" ref="B194">SLOOKUP(A194,H:H,H:H,0.6,0)</f>
        <v>Intuit</v>
      </c>
      <c r="C194" s="3" cm="1">
        <f t="array" ref="C194">IF(B194&lt;&gt;"",SimpleSim(A194,B194),"")</f>
        <v>1</v>
      </c>
      <c r="E194" t="str" cm="1">
        <f t="array" ref="E194">LLOOKUP(A194,H:H,H:H,0.6,0)</f>
        <v>Intuit</v>
      </c>
      <c r="F194" s="3" cm="1">
        <f t="array" ref="F194">IF(E194&lt;&gt;"",LevenshteinSimilarity(A194,E194),"")</f>
        <v>1</v>
      </c>
      <c r="H194" t="s">
        <v>207</v>
      </c>
      <c r="I194">
        <v>95113</v>
      </c>
    </row>
    <row r="195" spans="1:9">
      <c r="A195" t="str">
        <f>SUBSTITUTE(SUBSTITUTE(Example1!A195,"www.",""),".com","")</f>
        <v>katerra</v>
      </c>
      <c r="B195" t="str" cm="1">
        <f t="array" ref="B195">SLOOKUP(A195,H:H,H:H,0.6,0)</f>
        <v>Katerra</v>
      </c>
      <c r="C195" s="3" cm="1">
        <f t="array" ref="C195">IF(B195&lt;&gt;"",SimpleSim(A195,B195),"")</f>
        <v>1</v>
      </c>
      <c r="E195" t="str" cm="1">
        <f t="array" ref="E195">LLOOKUP(A195,H:H,H:H,0.6,0)</f>
        <v>Katerra</v>
      </c>
      <c r="F195" s="3" cm="1">
        <f t="array" ref="F195">IF(E195&lt;&gt;"",LevenshteinSimilarity(A195,E195),"")</f>
        <v>1</v>
      </c>
      <c r="H195" t="s">
        <v>208</v>
      </c>
      <c r="I195">
        <v>94401</v>
      </c>
    </row>
    <row r="196" spans="1:9">
      <c r="A196" t="str">
        <f>SUBSTITUTE(SUBSTITUTE(Example1!A196,"www.",""),".com","")</f>
        <v>khanacademy.org</v>
      </c>
      <c r="B196" t="str" cm="1">
        <f t="array" ref="B196">SLOOKUP(A196,H:H,H:H,0.6,0)</f>
        <v>Khan Academy</v>
      </c>
      <c r="C196" s="3" cm="1">
        <f t="array" ref="C196">IF(B196&lt;&gt;"",SimpleSim(A196,B196),"")</f>
        <v>0.70740740740740737</v>
      </c>
      <c r="E196" t="str" cm="1">
        <f t="array" ref="E196">LLOOKUP(A196,H:H,H:H,0.6,0)</f>
        <v>Khan Academy</v>
      </c>
      <c r="F196" s="3" cm="1">
        <f t="array" ref="F196">IF(E196&lt;&gt;"",LevenshteinSimilarity(A196,E196),"")</f>
        <v>0.66666666666666663</v>
      </c>
      <c r="H196" t="s">
        <v>209</v>
      </c>
      <c r="I196">
        <v>94063</v>
      </c>
    </row>
    <row r="197" spans="1:9">
      <c r="A197" t="str">
        <f>SUBSTITUTE(SUBSTITUTE(Example1!A197,"www.",""),".com","")</f>
        <v>menlovc</v>
      </c>
      <c r="B197" t="str" cm="1">
        <f t="array" ref="B197">SLOOKUP(A197,H:H,H:H,0.6,0)</f>
        <v>Menlo Ventures</v>
      </c>
      <c r="C197" s="3" cm="1">
        <f t="array" ref="C197">IF(B197&lt;&gt;"",SimpleSim(A197,B197),"")</f>
        <v>0.7857142857142857</v>
      </c>
      <c r="E197" t="str" cm="1">
        <f t="array" ref="E197">LLOOKUP(A197,H:H,H:H,0.6,0)</f>
        <v/>
      </c>
      <c r="F197" s="3" t="str" cm="1">
        <f t="array" ref="F197">IF(E197&lt;&gt;"",LevenshteinSimilarity(A197,E197),"")</f>
        <v/>
      </c>
      <c r="H197" t="s">
        <v>210</v>
      </c>
      <c r="I197">
        <v>94043</v>
      </c>
    </row>
    <row r="198" spans="1:9">
      <c r="A198" t="str">
        <f>SUBSTITUTE(SUBSTITUTE(Example1!A198,"www.",""),".com","")</f>
        <v>metavision</v>
      </c>
      <c r="B198" t="str" cm="1">
        <f t="array" ref="B198">SLOOKUP(A198,H:H,H:H,0.6,0)</f>
        <v>MetaVision</v>
      </c>
      <c r="C198" s="3" cm="1">
        <f t="array" ref="C198">IF(B198&lt;&gt;"",SimpleSim(A198,B198),"")</f>
        <v>1</v>
      </c>
      <c r="E198" t="str" cm="1">
        <f t="array" ref="E198">LLOOKUP(A198,H:H,H:H,0.6,0)</f>
        <v>MetaVision</v>
      </c>
      <c r="F198" s="3" cm="1">
        <f t="array" ref="F198">IF(E198&lt;&gt;"",LevenshteinSimilarity(A198,E198),"")</f>
        <v>1</v>
      </c>
      <c r="H198" t="s">
        <v>211</v>
      </c>
      <c r="I198">
        <v>94025</v>
      </c>
    </row>
    <row r="199" spans="1:9">
      <c r="A199" t="str">
        <f>SUBSTITUTE(SUBSTITUTE(Example1!A199,"www.",""),".com","")</f>
        <v>mountainviewstaffing</v>
      </c>
      <c r="B199" t="str" cm="1">
        <f t="array" ref="B199">SLOOKUP(A199,H:H,H:H,0.6,0)</f>
        <v>Mountain View Staffing</v>
      </c>
      <c r="C199" s="3" cm="1">
        <f t="array" ref="C199">IF(B199&lt;&gt;"",SimpleSim(A199,B199),"")</f>
        <v>0.95</v>
      </c>
      <c r="E199" t="str" cm="1">
        <f t="array" ref="E199">LLOOKUP(A199,H:H,H:H,0.6,0)</f>
        <v>Mountain View Staffing</v>
      </c>
      <c r="F199" s="3" cm="1">
        <f t="array" ref="F199">IF(E199&lt;&gt;"",LevenshteinSimilarity(A199,E199),"")</f>
        <v>0.9</v>
      </c>
      <c r="H199" t="s">
        <v>212</v>
      </c>
      <c r="I199">
        <v>94025</v>
      </c>
    </row>
    <row r="200" spans="1:9">
      <c r="A200" t="str">
        <f>SUBSTITUTE(SUBSTITUTE(Example1!A200,"www.",""),".com","")</f>
        <v>mz</v>
      </c>
      <c r="B200" t="str" cm="1">
        <f t="array" ref="B200">SLOOKUP(A200,H:H,H:H,0.6,0)</f>
        <v/>
      </c>
      <c r="C200" s="3" t="str" cm="1">
        <f t="array" ref="C200">IF(B200&lt;&gt;"",SimpleSim(A200,B200),"")</f>
        <v/>
      </c>
      <c r="E200" t="str" cm="1">
        <f t="array" ref="E200">LLOOKUP(A200,H:H,H:H,0.6,0)</f>
        <v/>
      </c>
      <c r="F200" s="3" t="str" cm="1">
        <f t="array" ref="F200">IF(E200&lt;&gt;"",LevenshteinSimilarity(A200,E200),"")</f>
        <v/>
      </c>
      <c r="H200" t="s">
        <v>213</v>
      </c>
      <c r="I200">
        <v>94063</v>
      </c>
    </row>
    <row r="201" spans="1:9">
      <c r="A201" t="str">
        <f>SUBSTITUTE(SUBSTITUTE(Example1!A201,"www.",""),".com","")</f>
        <v>nextgentechinc</v>
      </c>
      <c r="B201" t="str" cm="1">
        <f t="array" ref="B201">SLOOKUP(A201,H:H,H:H,0.6,0)</f>
        <v>Nextgen Technologies</v>
      </c>
      <c r="C201" s="3" cm="1">
        <f t="array" ref="C201">IF(B201&lt;&gt;"",SimpleSim(A201,B201),"")</f>
        <v>0.78996598639455773</v>
      </c>
      <c r="E201" t="str" cm="1">
        <f t="array" ref="E201">LLOOKUP(A201,H:H,H:H,0.6,0)</f>
        <v>Nextgen Technologies</v>
      </c>
      <c r="F201" s="3" cm="1">
        <f t="array" ref="F201">IF(E201&lt;&gt;"",LevenshteinSimilarity(A201,E201),"")</f>
        <v>0.7857142857142857</v>
      </c>
      <c r="H201" t="s">
        <v>214</v>
      </c>
      <c r="I201">
        <v>94065</v>
      </c>
    </row>
    <row r="202" spans="1:9">
      <c r="A202" t="str">
        <f>SUBSTITUTE(SUBSTITUTE(Example1!A202,"www.",""),".com","")</f>
        <v>nuance</v>
      </c>
      <c r="B202" t="str" cm="1">
        <f t="array" ref="B202">SLOOKUP(A202,H:H,H:H,0.6,0)</f>
        <v>Nuance Communications</v>
      </c>
      <c r="C202" s="3" cm="1">
        <f t="array" ref="C202">IF(B202&lt;&gt;"",SimpleSim(A202,B202),"")</f>
        <v>1</v>
      </c>
      <c r="E202" t="str" cm="1">
        <f t="array" ref="E202">LLOOKUP(A202,H:H,H:H,0.6,0)</f>
        <v/>
      </c>
      <c r="F202" s="3" t="str" cm="1">
        <f t="array" ref="F202">IF(E202&lt;&gt;"",LevenshteinSimilarity(A202,E202),"")</f>
        <v/>
      </c>
      <c r="H202" t="s">
        <v>215</v>
      </c>
      <c r="I202">
        <v>94063</v>
      </c>
    </row>
    <row r="203" spans="1:9">
      <c r="A203" t="str">
        <f>SUBSTITUTE(SUBSTITUTE(Example1!A203,"www.",""),".com","")</f>
        <v>oracle</v>
      </c>
      <c r="B203" t="str" cm="1">
        <f t="array" ref="B203">SLOOKUP(A203,H:H,H:H,0.6,0)</f>
        <v>Oracle</v>
      </c>
      <c r="C203" s="3" cm="1">
        <f t="array" ref="C203">IF(B203&lt;&gt;"",SimpleSim(A203,B203),"")</f>
        <v>1</v>
      </c>
      <c r="E203" t="str" cm="1">
        <f t="array" ref="E203">LLOOKUP(A203,H:H,H:H,0.6,0)</f>
        <v>Oracle</v>
      </c>
      <c r="F203" s="3" cm="1">
        <f t="array" ref="F203">IF(E203&lt;&gt;"",LevenshteinSimilarity(A203,E203),"")</f>
        <v>1</v>
      </c>
      <c r="H203" t="s">
        <v>216</v>
      </c>
      <c r="I203">
        <v>94025</v>
      </c>
    </row>
    <row r="204" spans="1:9">
      <c r="A204" t="str">
        <f>SUBSTITUTE(SUBSTITUTE(Example1!A204,"www.",""),".com","")</f>
        <v>paloaltostaffing</v>
      </c>
      <c r="B204" t="str" cm="1">
        <f t="array" ref="B204">SLOOKUP(A204,H:H,H:H,0.6,0)</f>
        <v>Palo Alto Staffing</v>
      </c>
      <c r="C204" s="3" cm="1">
        <f t="array" ref="C204">IF(B204&lt;&gt;"",SimpleSim(A204,B204),"")</f>
        <v>0.9375</v>
      </c>
      <c r="E204" t="str" cm="1">
        <f t="array" ref="E204">LLOOKUP(A204,H:H,H:H,0.6,0)</f>
        <v>Palo Alto Staffing</v>
      </c>
      <c r="F204" s="3" cm="1">
        <f t="array" ref="F204">IF(E204&lt;&gt;"",LevenshteinSimilarity(A204,E204),"")</f>
        <v>0.875</v>
      </c>
      <c r="H204" t="s">
        <v>217</v>
      </c>
      <c r="I204">
        <v>94401</v>
      </c>
    </row>
    <row r="205" spans="1:9">
      <c r="A205" t="str">
        <f>SUBSTITUTE(SUBSTITUTE(Example1!A205,"www.",""),".com","")</f>
        <v>paypal</v>
      </c>
      <c r="B205" t="str" cm="1">
        <f t="array" ref="B205">SLOOKUP(A205,H:H,H:H,0.6,0)</f>
        <v>PayPal</v>
      </c>
      <c r="C205" s="3" cm="1">
        <f t="array" ref="C205">IF(B205&lt;&gt;"",SimpleSim(A205,B205),"")</f>
        <v>1</v>
      </c>
      <c r="E205" t="str" cm="1">
        <f t="array" ref="E205">LLOOKUP(A205,H:H,H:H,0.6,0)</f>
        <v>PayPal</v>
      </c>
      <c r="F205" s="3" cm="1">
        <f t="array" ref="F205">IF(E205&lt;&gt;"",LevenshteinSimilarity(A205,E205),"")</f>
        <v>1</v>
      </c>
      <c r="H205" t="s">
        <v>218</v>
      </c>
      <c r="I205">
        <v>94025</v>
      </c>
    </row>
    <row r="206" spans="1:9">
      <c r="A206" t="str">
        <f>SUBSTITUTE(SUBSTITUTE(Example1!A206,"www.",""),".com","")</f>
        <v>proteus</v>
      </c>
      <c r="B206" t="str" cm="1">
        <f t="array" ref="B206">SLOOKUP(A206,H:H,H:H,0.6,0)</f>
        <v>Proteus Digital Health</v>
      </c>
      <c r="C206" s="3" cm="1">
        <f t="array" ref="C206">IF(B206&lt;&gt;"",SimpleSim(A206,B206),"")</f>
        <v>1</v>
      </c>
      <c r="E206" t="str" cm="1">
        <f t="array" ref="E206">LLOOKUP(A206,H:H,H:H,0.6,0)</f>
        <v/>
      </c>
      <c r="F206" s="3" t="str" cm="1">
        <f t="array" ref="F206">IF(E206&lt;&gt;"",LevenshteinSimilarity(A206,E206),"")</f>
        <v/>
      </c>
      <c r="H206" t="s">
        <v>219</v>
      </c>
      <c r="I206">
        <v>94063</v>
      </c>
    </row>
    <row r="207" spans="1:9">
      <c r="A207" t="str">
        <f>SUBSTITUTE(SUBSTITUTE(Example1!A207,"www.",""),".com","")</f>
        <v>redoaktech</v>
      </c>
      <c r="B207" t="str" cm="1">
        <f t="array" ref="B207">SLOOKUP(A207,H:H,H:H,0.6,0)</f>
        <v>Red Oak Technologies</v>
      </c>
      <c r="C207" s="3" cm="1">
        <f t="array" ref="C207">IF(B207&lt;&gt;"",SimpleSim(A207,B207),"")</f>
        <v>0.9</v>
      </c>
      <c r="E207" t="str" cm="1">
        <f t="array" ref="E207">LLOOKUP(A207,H:H,H:H,0.6,0)</f>
        <v/>
      </c>
      <c r="F207" s="3" t="str" cm="1">
        <f t="array" ref="F207">IF(E207&lt;&gt;"",LevenshteinSimilarity(A207,E207),"")</f>
        <v/>
      </c>
      <c r="H207" t="s">
        <v>220</v>
      </c>
      <c r="I207">
        <v>94041</v>
      </c>
    </row>
    <row r="208" spans="1:9">
      <c r="A208" t="str">
        <f>SUBSTITUTE(SUBSTITUTE(Example1!A208,"www.",""),".com","")</f>
        <v>redpoint</v>
      </c>
      <c r="B208" t="str" cm="1">
        <f t="array" ref="B208">SLOOKUP(A208,H:H,H:H,0.6,0)</f>
        <v>Redpoint Ventures</v>
      </c>
      <c r="C208" s="3" cm="1">
        <f t="array" ref="C208">IF(B208&lt;&gt;"",SimpleSim(A208,B208),"")</f>
        <v>1</v>
      </c>
      <c r="E208" t="str" cm="1">
        <f t="array" ref="E208">LLOOKUP(A208,H:H,H:H,0.6,0)</f>
        <v>Cradlepoint</v>
      </c>
      <c r="F208" s="3" cm="1">
        <f t="array" ref="F208">IF(E208&lt;&gt;"",LevenshteinSimilarity(A208,E208),"")</f>
        <v>0.75</v>
      </c>
      <c r="H208" t="s">
        <v>221</v>
      </c>
      <c r="I208">
        <v>94402</v>
      </c>
    </row>
    <row r="209" spans="1:9">
      <c r="A209" t="str">
        <f>SUBSTITUTE(SUBSTITUTE(Example1!A209,"www.",""),".com","")</f>
        <v>ringcentral</v>
      </c>
      <c r="B209" t="str" cm="1">
        <f t="array" ref="B209">SLOOKUP(A209,H:H,H:H,0.6,0)</f>
        <v>RingCentral</v>
      </c>
      <c r="C209" s="3" cm="1">
        <f t="array" ref="C209">IF(B209&lt;&gt;"",SimpleSim(A209,B209),"")</f>
        <v>1</v>
      </c>
      <c r="E209" t="str" cm="1">
        <f t="array" ref="E209">LLOOKUP(A209,H:H,H:H,0.6,0)</f>
        <v>RingCentral</v>
      </c>
      <c r="F209" s="3" cm="1">
        <f t="array" ref="F209">IF(E209&lt;&gt;"",LevenshteinSimilarity(A209,E209),"")</f>
        <v>1</v>
      </c>
      <c r="H209" t="s">
        <v>222</v>
      </c>
      <c r="I209">
        <v>94401</v>
      </c>
    </row>
    <row r="210" spans="1:9">
      <c r="A210" t="str">
        <f>SUBSTITUTE(SUBSTITUTE(Example1!A210,"www.",""),".com","")</f>
        <v>socialcapital</v>
      </c>
      <c r="B210" t="str" cm="1">
        <f t="array" ref="B210">SLOOKUP(A210,H:H,H:H,0.6,0)</f>
        <v>Social Capital</v>
      </c>
      <c r="C210" s="3" cm="1">
        <f t="array" ref="C210">IF(B210&lt;&gt;"",SimpleSim(A210,B210),"")</f>
        <v>0.96153846153846156</v>
      </c>
      <c r="E210" t="str" cm="1">
        <f t="array" ref="E210">LLOOKUP(A210,H:H,H:H,0.6,0)</f>
        <v>Social Capital</v>
      </c>
      <c r="F210" s="3" cm="1">
        <f t="array" ref="F210">IF(E210&lt;&gt;"",LevenshteinSimilarity(A210,E210),"")</f>
        <v>0.92307692307692313</v>
      </c>
      <c r="H210" t="s">
        <v>223</v>
      </c>
      <c r="I210">
        <v>94301</v>
      </c>
    </row>
    <row r="211" spans="1:9">
      <c r="A211" t="str">
        <f>SUBSTITUTE(SUBSTITUTE(Example1!A211,"www.",""),".com","")</f>
        <v>sparkcapital</v>
      </c>
      <c r="B211" t="str" cm="1">
        <f t="array" ref="B211">SLOOKUP(A211,H:H,H:H,0.6,0)</f>
        <v>Spark Capital</v>
      </c>
      <c r="C211" s="3" cm="1">
        <f t="array" ref="C211">IF(B211&lt;&gt;"",SimpleSim(A211,B211),"")</f>
        <v>0.95833333333333337</v>
      </c>
      <c r="E211" t="str" cm="1">
        <f t="array" ref="E211">LLOOKUP(A211,H:H,H:H,0.6,0)</f>
        <v>Spark Capital</v>
      </c>
      <c r="F211" s="3" cm="1">
        <f t="array" ref="F211">IF(E211&lt;&gt;"",LevenshteinSimilarity(A211,E211),"")</f>
        <v>0.91666666666666663</v>
      </c>
      <c r="H211" t="s">
        <v>224</v>
      </c>
      <c r="I211">
        <v>94025</v>
      </c>
    </row>
    <row r="212" spans="1:9">
      <c r="A212" t="str">
        <f>SUBSTITUTE(SUBSTITUTE(Example1!A212,"www.",""),".com","")</f>
        <v>tenable</v>
      </c>
      <c r="B212" t="str" cm="1">
        <f t="array" ref="B212">SLOOKUP(A212,H:H,H:H,0.6,0)</f>
        <v>Tenable</v>
      </c>
      <c r="C212" s="3" cm="1">
        <f t="array" ref="C212">IF(B212&lt;&gt;"",SimpleSim(A212,B212),"")</f>
        <v>1</v>
      </c>
      <c r="E212" t="str" cm="1">
        <f t="array" ref="E212">LLOOKUP(A212,H:H,H:H,0.6,0)</f>
        <v>Tenable</v>
      </c>
      <c r="F212" s="3" cm="1">
        <f t="array" ref="F212">IF(E212&lt;&gt;"",LevenshteinSimilarity(A212,E212),"")</f>
        <v>1</v>
      </c>
      <c r="H212" t="s">
        <v>225</v>
      </c>
      <c r="I212">
        <v>94303</v>
      </c>
    </row>
    <row r="213" spans="1:9">
      <c r="A213" t="str">
        <f>SUBSTITUTE(SUBSTITUTE(Example1!A213,"www.",""),".com","")</f>
        <v>tesla</v>
      </c>
      <c r="B213" t="str" cm="1">
        <f t="array" ref="B213">SLOOKUP(A213,H:H,H:H,0.6,0)</f>
        <v>Tesla</v>
      </c>
      <c r="C213" s="3" cm="1">
        <f t="array" ref="C213">IF(B213&lt;&gt;"",SimpleSim(A213,B213),"")</f>
        <v>1</v>
      </c>
      <c r="E213" t="str" cm="1">
        <f t="array" ref="E213">LLOOKUP(A213,H:H,H:H,0.6,0)</f>
        <v>Tesla</v>
      </c>
      <c r="F213" s="3" cm="1">
        <f t="array" ref="F213">IF(E213&lt;&gt;"",LevenshteinSimilarity(A213,E213),"")</f>
        <v>1</v>
      </c>
      <c r="H213" t="s">
        <v>226</v>
      </c>
      <c r="I213">
        <v>94104</v>
      </c>
    </row>
    <row r="214" spans="1:9">
      <c r="A214" t="str">
        <f>SUBSTITUTE(SUBSTITUTE(Example1!A214,"www.",""),".com","")</f>
        <v>tynker</v>
      </c>
      <c r="B214" t="str" cm="1">
        <f t="array" ref="B214">SLOOKUP(A214,H:H,H:H,0.6,0)</f>
        <v>Tynker</v>
      </c>
      <c r="C214" s="3" cm="1">
        <f t="array" ref="C214">IF(B214&lt;&gt;"",SimpleSim(A214,B214),"")</f>
        <v>1</v>
      </c>
      <c r="E214" t="str" cm="1">
        <f t="array" ref="E214">LLOOKUP(A214,H:H,H:H,0.6,0)</f>
        <v>Tynker</v>
      </c>
      <c r="F214" s="3" cm="1">
        <f t="array" ref="F214">IF(E214&lt;&gt;"",LevenshteinSimilarity(A214,E214),"")</f>
        <v>1</v>
      </c>
      <c r="H214" t="s">
        <v>227</v>
      </c>
      <c r="I214">
        <v>95032</v>
      </c>
    </row>
    <row r="215" spans="1:9">
      <c r="A215" t="str">
        <f>SUBSTITUTE(SUBSTITUTE(Example1!A215,"www.",""),".com","")</f>
        <v>udacity</v>
      </c>
      <c r="B215" t="str" cm="1">
        <f t="array" ref="B215">SLOOKUP(A215,H:H,H:H,0.6,0)</f>
        <v>Udacity</v>
      </c>
      <c r="C215" s="3" cm="1">
        <f t="array" ref="C215">IF(B215&lt;&gt;"",SimpleSim(A215,B215),"")</f>
        <v>1</v>
      </c>
      <c r="E215" t="str" cm="1">
        <f t="array" ref="E215">LLOOKUP(A215,H:H,H:H,0.6,0)</f>
        <v>Udacity</v>
      </c>
      <c r="F215" s="3" cm="1">
        <f t="array" ref="F215">IF(E215&lt;&gt;"",LevenshteinSimilarity(A215,E215),"")</f>
        <v>1</v>
      </c>
      <c r="H215" t="s">
        <v>228</v>
      </c>
      <c r="I215">
        <v>94025</v>
      </c>
    </row>
    <row r="216" spans="1:9">
      <c r="A216" t="str">
        <f>SUBSTITUTE(SUBSTITUTE(Example1!A216,"www.",""),".com","")</f>
        <v>veev</v>
      </c>
      <c r="B216" t="str" cm="1">
        <f t="array" ref="B216">SLOOKUP(A216,H:H,H:H,0.6,0)</f>
        <v>Veev</v>
      </c>
      <c r="C216" s="3" cm="1">
        <f t="array" ref="C216">IF(B216&lt;&gt;"",SimpleSim(A216,B216),"")</f>
        <v>1</v>
      </c>
      <c r="E216" t="str" cm="1">
        <f t="array" ref="E216">LLOOKUP(A216,H:H,H:H,0.6,0)</f>
        <v>Veev</v>
      </c>
      <c r="F216" s="3" cm="1">
        <f t="array" ref="F216">IF(E216&lt;&gt;"",LevenshteinSimilarity(A216,E216),"")</f>
        <v>1</v>
      </c>
      <c r="H216" t="s">
        <v>229</v>
      </c>
      <c r="I216">
        <v>94063</v>
      </c>
    </row>
    <row r="217" spans="1:9">
      <c r="A217" t="str">
        <f>SUBSTITUTE(SUBSTITUTE(Example1!A217,"www.",""),".com","")</f>
        <v>vmware</v>
      </c>
      <c r="B217" t="str" cm="1">
        <f t="array" ref="B217">SLOOKUP(A217,H:H,H:H,0.6,0)</f>
        <v>VMWare</v>
      </c>
      <c r="C217" s="3" cm="1">
        <f t="array" ref="C217">IF(B217&lt;&gt;"",SimpleSim(A217,B217),"")</f>
        <v>1</v>
      </c>
      <c r="E217" t="str" cm="1">
        <f t="array" ref="E217">LLOOKUP(A217,H:H,H:H,0.6,0)</f>
        <v>VMWare</v>
      </c>
      <c r="F217" s="3" cm="1">
        <f t="array" ref="F217">IF(E217&lt;&gt;"",LevenshteinSimilarity(A217,E217),"")</f>
        <v>1</v>
      </c>
      <c r="H217" t="s">
        <v>230</v>
      </c>
      <c r="I217">
        <v>94301</v>
      </c>
    </row>
    <row r="218" spans="1:9">
      <c r="A218" t="str">
        <f>SUBSTITUTE(SUBSTITUTE(Example1!A218,"www.",""),".com","")</f>
        <v>volt</v>
      </c>
      <c r="B218" t="str" cm="1">
        <f t="array" ref="B218">SLOOKUP(A218,H:H,H:H,0.6,0)</f>
        <v>Volt Workforce Solutions</v>
      </c>
      <c r="C218" s="3" cm="1">
        <f t="array" ref="C218">IF(B218&lt;&gt;"",SimpleSim(A218,B218),"")</f>
        <v>1</v>
      </c>
      <c r="E218" t="str" cm="1">
        <f t="array" ref="E218">LLOOKUP(A218,H:H,H:H,0.6,0)</f>
        <v/>
      </c>
      <c r="F218" s="3" t="str" cm="1">
        <f t="array" ref="F218">IF(E218&lt;&gt;"",LevenshteinSimilarity(A218,E218),"")</f>
        <v/>
      </c>
      <c r="H218" t="s">
        <v>231</v>
      </c>
      <c r="I218">
        <v>95032</v>
      </c>
    </row>
    <row r="219" spans="1:9">
      <c r="A219" t="str">
        <f>SUBSTITUTE(SUBSTITUTE(Example1!A219,"www.",""),".com","")</f>
        <v>walmartlabs</v>
      </c>
      <c r="B219" t="str" cm="1">
        <f t="array" ref="B219">SLOOKUP(A219,H:H,H:H,0.6,0)</f>
        <v>Walmart Labs</v>
      </c>
      <c r="C219" s="3" cm="1">
        <f t="array" ref="C219">IF(B219&lt;&gt;"",SimpleSim(A219,B219),"")</f>
        <v>0.95454545454545459</v>
      </c>
      <c r="E219" t="str" cm="1">
        <f t="array" ref="E219">LLOOKUP(A219,H:H,H:H,0.6,0)</f>
        <v>Walmart Labs</v>
      </c>
      <c r="F219" s="3" cm="1">
        <f t="array" ref="F219">IF(E219&lt;&gt;"",LevenshteinSimilarity(A219,E219),"")</f>
        <v>0.90909090909090906</v>
      </c>
      <c r="H219" t="s">
        <v>232</v>
      </c>
      <c r="I219">
        <v>94087</v>
      </c>
    </row>
    <row r="220" spans="1:9">
      <c r="A220" t="str">
        <f>SUBSTITUTE(SUBSTITUTE(Example1!A220,"www.",""),".com","")</f>
        <v>wellpay.care</v>
      </c>
      <c r="B220" t="str" cm="1">
        <f t="array" ref="B220">SLOOKUP(A220,H:H,H:H,0.6,0)</f>
        <v>WellPay</v>
      </c>
      <c r="C220" s="3" cm="1">
        <f t="array" ref="C220">IF(B220&lt;&gt;"",SimpleSim(A220,B220),"")</f>
        <v>0.63888888888888895</v>
      </c>
      <c r="E220" t="str" cm="1">
        <f t="array" ref="E220">LLOOKUP(A220,H:H,H:H,0.6,0)</f>
        <v/>
      </c>
      <c r="F220" s="3" t="str" cm="1">
        <f t="array" ref="F220">IF(E220&lt;&gt;"",LevenshteinSimilarity(A220,E220),"")</f>
        <v/>
      </c>
      <c r="H220" t="s">
        <v>233</v>
      </c>
      <c r="I220">
        <v>94043</v>
      </c>
    </row>
    <row r="221" spans="1:9">
      <c r="A221" t="str">
        <f>SUBSTITUTE(SUBSTITUTE(Example1!A221,"www.",""),".com","")</f>
        <v>workato</v>
      </c>
      <c r="B221" t="str" cm="1">
        <f t="array" ref="B221">SLOOKUP(A221,H:H,H:H,0.6,0)</f>
        <v>Workato</v>
      </c>
      <c r="C221" s="3" cm="1">
        <f t="array" ref="C221">IF(B221&lt;&gt;"",SimpleSim(A221,B221),"")</f>
        <v>1</v>
      </c>
      <c r="E221" t="str" cm="1">
        <f t="array" ref="E221">LLOOKUP(A221,H:H,H:H,0.6,0)</f>
        <v>Workato</v>
      </c>
      <c r="F221" s="3" cm="1">
        <f t="array" ref="F221">IF(E221&lt;&gt;"",LevenshteinSimilarity(A221,E221),"")</f>
        <v>1</v>
      </c>
      <c r="H221" t="s">
        <v>234</v>
      </c>
      <c r="I221">
        <v>94043</v>
      </c>
    </row>
    <row r="222" spans="1:9">
      <c r="A222" t="str">
        <f>SUBSTITUTE(SUBSTITUTE(Example1!A222,"www.",""),".com","")</f>
        <v>yummly</v>
      </c>
      <c r="B222" t="str" cm="1">
        <f t="array" ref="B222">SLOOKUP(A222,H:H,H:H,0.6,0)</f>
        <v>Yummly</v>
      </c>
      <c r="C222" s="3" cm="1">
        <f t="array" ref="C222">IF(B222&lt;&gt;"",SimpleSim(A222,B222),"")</f>
        <v>1</v>
      </c>
      <c r="E222" t="str" cm="1">
        <f t="array" ref="E222">LLOOKUP(A222,H:H,H:H,0.6,0)</f>
        <v>Yummly</v>
      </c>
      <c r="F222" s="3" cm="1">
        <f t="array" ref="F222">IF(E222&lt;&gt;"",LevenshteinSimilarity(A222,E222),"")</f>
        <v>1</v>
      </c>
      <c r="H222" t="s">
        <v>235</v>
      </c>
      <c r="I222">
        <v>94085</v>
      </c>
    </row>
    <row r="223" spans="1:9">
      <c r="A223" t="str">
        <f>SUBSTITUTE(SUBSTITUTE(Example1!A223,"www.",""),".com","")</f>
        <v>xilinx</v>
      </c>
      <c r="B223" t="str" cm="1">
        <f t="array" ref="B223">SLOOKUP(A223,H:H,H:H,0.6,0)</f>
        <v>Xilinx</v>
      </c>
      <c r="C223" s="3" cm="1">
        <f t="array" ref="C223">IF(B223&lt;&gt;"",SimpleSim(A223,B223),"")</f>
        <v>1</v>
      </c>
      <c r="E223" t="str" cm="1">
        <f t="array" ref="E223">LLOOKUP(A223,H:H,H:H,0.6,0)</f>
        <v>Xilinx</v>
      </c>
      <c r="F223" s="3" cm="1">
        <f t="array" ref="F223">IF(E223&lt;&gt;"",LevenshteinSimilarity(A223,E223),"")</f>
        <v>1</v>
      </c>
      <c r="H223" t="s">
        <v>236</v>
      </c>
      <c r="I223">
        <v>95134</v>
      </c>
    </row>
    <row r="224" spans="1:9">
      <c r="A224" t="str">
        <f>SUBSTITUTE(SUBSTITUTE(Example1!A224,"www.",""),".com","")</f>
        <v>xoriant</v>
      </c>
      <c r="B224" t="str" cm="1">
        <f t="array" ref="B224">SLOOKUP(A224,H:H,H:H,0.6,0)</f>
        <v>Xoriant</v>
      </c>
      <c r="C224" s="3" cm="1">
        <f t="array" ref="C224">IF(B224&lt;&gt;"",SimpleSim(A224,B224),"")</f>
        <v>1</v>
      </c>
      <c r="E224" t="str" cm="1">
        <f t="array" ref="E224">LLOOKUP(A224,H:H,H:H,0.6,0)</f>
        <v>Xoriant</v>
      </c>
      <c r="F224" s="3" cm="1">
        <f t="array" ref="F224">IF(E224&lt;&gt;"",LevenshteinSimilarity(A224,E224),"")</f>
        <v>1</v>
      </c>
      <c r="H224" t="s">
        <v>237</v>
      </c>
      <c r="I224">
        <v>95032</v>
      </c>
    </row>
    <row r="225" spans="1:9">
      <c r="A225" t="str">
        <f>SUBSTITUTE(SUBSTITUTE(Example1!A225,"www.",""),".com","")</f>
        <v>yahoo</v>
      </c>
      <c r="B225" t="str" cm="1">
        <f t="array" ref="B225">SLOOKUP(A225,H:H,H:H,0.6,0)</f>
        <v>Yahoo</v>
      </c>
      <c r="C225" s="3" cm="1">
        <f t="array" ref="C225">IF(B225&lt;&gt;"",SimpleSim(A225,B225),"")</f>
        <v>1</v>
      </c>
      <c r="E225" t="str" cm="1">
        <f t="array" ref="E225">LLOOKUP(A225,H:H,H:H,0.6,0)</f>
        <v>Yahoo</v>
      </c>
      <c r="F225" s="3" cm="1">
        <f t="array" ref="F225">IF(E225&lt;&gt;"",LevenshteinSimilarity(A225,E225),"")</f>
        <v>1</v>
      </c>
      <c r="H225" t="s">
        <v>238</v>
      </c>
      <c r="I225">
        <v>95054</v>
      </c>
    </row>
    <row r="226" spans="1:9">
      <c r="A226" t="str">
        <f>SUBSTITUTE(SUBSTITUTE(Example1!A226,"www.",""),".com","")</f>
        <v>yodlee</v>
      </c>
      <c r="B226" t="str" cm="1">
        <f t="array" ref="B226">SLOOKUP(A226,H:H,H:H,0.6,0)</f>
        <v>Yodlee</v>
      </c>
      <c r="C226" s="3" cm="1">
        <f t="array" ref="C226">IF(B226&lt;&gt;"",SimpleSim(A226,B226),"")</f>
        <v>1</v>
      </c>
      <c r="E226" t="str" cm="1">
        <f t="array" ref="E226">LLOOKUP(A226,H:H,H:H,0.6,0)</f>
        <v>Yodlee</v>
      </c>
      <c r="F226" s="3" cm="1">
        <f t="array" ref="F226">IF(E226&lt;&gt;"",LevenshteinSimilarity(A226,E226),"")</f>
        <v>1</v>
      </c>
      <c r="H226" t="s">
        <v>239</v>
      </c>
      <c r="I226">
        <v>95113</v>
      </c>
    </row>
    <row r="227" spans="1:9">
      <c r="A227" t="str">
        <f>SUBSTITUTE(SUBSTITUTE(Example1!A227,"www.",""),".com","")</f>
        <v>youtube</v>
      </c>
      <c r="B227" t="str" cm="1">
        <f t="array" ref="B227">SLOOKUP(A227,H:H,H:H,0.6,0)</f>
        <v>YouTube</v>
      </c>
      <c r="C227" s="3" cm="1">
        <f t="array" ref="C227">IF(B227&lt;&gt;"",SimpleSim(A227,B227),"")</f>
        <v>1</v>
      </c>
      <c r="E227" t="str" cm="1">
        <f t="array" ref="E227">LLOOKUP(A227,H:H,H:H,0.6,0)</f>
        <v>YouTube</v>
      </c>
      <c r="F227" s="3" cm="1">
        <f t="array" ref="F227">IF(E227&lt;&gt;"",LevenshteinSimilarity(A227,E227),"")</f>
        <v>1</v>
      </c>
      <c r="H227" t="s">
        <v>240</v>
      </c>
      <c r="I227">
        <v>94304</v>
      </c>
    </row>
    <row r="228" spans="1:9">
      <c r="A228" t="str">
        <f>SUBSTITUTE(SUBSTITUTE(Example1!A228,"www.",""),".com","")</f>
        <v>zazzle</v>
      </c>
      <c r="B228" t="str" cm="1">
        <f t="array" ref="B228">SLOOKUP(A228,H:H,H:H,0.6,0)</f>
        <v>Zazzle</v>
      </c>
      <c r="C228" s="3" cm="1">
        <f t="array" ref="C228">IF(B228&lt;&gt;"",SimpleSim(A228,B228),"")</f>
        <v>1</v>
      </c>
      <c r="E228" t="str" cm="1">
        <f t="array" ref="E228">LLOOKUP(A228,H:H,H:H,0.6,0)</f>
        <v>Zazzle</v>
      </c>
      <c r="F228" s="3" cm="1">
        <f t="array" ref="F228">IF(E228&lt;&gt;"",LevenshteinSimilarity(A228,E228),"")</f>
        <v>1</v>
      </c>
      <c r="H228" t="s">
        <v>241</v>
      </c>
      <c r="I228">
        <v>94025</v>
      </c>
    </row>
    <row r="229" spans="1:9">
      <c r="A229" t="str">
        <f>SUBSTITUTE(SUBSTITUTE(Example1!A229,"www.",""),".com","")</f>
        <v>zicasso</v>
      </c>
      <c r="B229" t="str" cm="1">
        <f t="array" ref="B229">SLOOKUP(A229,H:H,H:H,0.6,0)</f>
        <v>Zicasso</v>
      </c>
      <c r="C229" s="3" cm="1">
        <f t="array" ref="C229">IF(B229&lt;&gt;"",SimpleSim(A229,B229),"")</f>
        <v>1</v>
      </c>
      <c r="E229" t="str" cm="1">
        <f t="array" ref="E229">LLOOKUP(A229,H:H,H:H,0.6,0)</f>
        <v>Zicasso</v>
      </c>
      <c r="F229" s="3" cm="1">
        <f t="array" ref="F229">IF(E229&lt;&gt;"",LevenshteinSimilarity(A229,E229),"")</f>
        <v>1</v>
      </c>
      <c r="H229" t="s">
        <v>242</v>
      </c>
      <c r="I229">
        <v>94025</v>
      </c>
    </row>
    <row r="230" spans="1:9">
      <c r="A230" t="str">
        <f>SUBSTITUTE(SUBSTITUTE(Example1!A230,"www.",""),".com","")</f>
        <v>zipcar</v>
      </c>
      <c r="B230" t="str" cm="1">
        <f t="array" ref="B230">SLOOKUP(A230,H:H,H:H,0.6,0)</f>
        <v>Zipcar</v>
      </c>
      <c r="C230" s="3" cm="1">
        <f t="array" ref="C230">IF(B230&lt;&gt;"",SimpleSim(A230,B230),"")</f>
        <v>1</v>
      </c>
      <c r="E230" t="str" cm="1">
        <f t="array" ref="E230">LLOOKUP(A230,H:H,H:H,0.6,0)</f>
        <v>Zipcar</v>
      </c>
      <c r="F230" s="3" cm="1">
        <f t="array" ref="F230">IF(E230&lt;&gt;"",LevenshteinSimilarity(A230,E230),"")</f>
        <v>1</v>
      </c>
      <c r="H230" t="s">
        <v>243</v>
      </c>
      <c r="I230">
        <v>94304</v>
      </c>
    </row>
    <row r="231" spans="1:9">
      <c r="A231" t="str">
        <f>SUBSTITUTE(SUBSTITUTE(Example1!A231,"www.",""),".com","")</f>
        <v>zscaler</v>
      </c>
      <c r="B231" t="str" cm="1">
        <f t="array" ref="B231">SLOOKUP(A231,H:H,H:H,0.6,0)</f>
        <v>Zscaler</v>
      </c>
      <c r="C231" s="3" cm="1">
        <f t="array" ref="C231">IF(B231&lt;&gt;"",SimpleSim(A231,B231),"")</f>
        <v>1</v>
      </c>
      <c r="E231" t="str" cm="1">
        <f t="array" ref="E231">LLOOKUP(A231,H:H,H:H,0.6,0)</f>
        <v>Zscaler</v>
      </c>
      <c r="F231" s="3" cm="1">
        <f t="array" ref="F231">IF(E231&lt;&gt;"",LevenshteinSimilarity(A231,E231),"")</f>
        <v>1</v>
      </c>
      <c r="H231" t="s">
        <v>244</v>
      </c>
      <c r="I231">
        <v>94025</v>
      </c>
    </row>
    <row r="232" spans="1:9">
      <c r="A232" t="str">
        <f>SUBSTITUTE(SUBSTITUTE(Example1!A232,"www.",""),".com","")</f>
        <v>zumepizza</v>
      </c>
      <c r="B232" t="str" cm="1">
        <f t="array" ref="B232">SLOOKUP(A232,H:H,H:H,0.6,0)</f>
        <v>Zume Pizza</v>
      </c>
      <c r="C232" s="3" cm="1">
        <f t="array" ref="C232">IF(B232&lt;&gt;"",SimpleSim(A232,B232),"")</f>
        <v>0.94444444444444442</v>
      </c>
      <c r="E232" t="str" cm="1">
        <f t="array" ref="E232">LLOOKUP(A232,H:H,H:H,0.6,0)</f>
        <v>Zume Pizza</v>
      </c>
      <c r="F232" s="3" cm="1">
        <f t="array" ref="F232">IF(E232&lt;&gt;"",LevenshteinSimilarity(A232,E232),"")</f>
        <v>0.88888888888888884</v>
      </c>
      <c r="H232" t="s">
        <v>245</v>
      </c>
      <c r="I232">
        <v>94025</v>
      </c>
    </row>
    <row r="233" spans="1:9">
      <c r="A233" t="str">
        <f>SUBSTITUTE(SUBSTITUTE(Example1!A233,"www.",""),".com","")</f>
        <v>zuora</v>
      </c>
      <c r="B233" t="str" cm="1">
        <f t="array" ref="B233">SLOOKUP(A233,H:H,H:H,0.6,0)</f>
        <v>Zuora</v>
      </c>
      <c r="C233" s="3" cm="1">
        <f t="array" ref="C233">IF(B233&lt;&gt;"",SimpleSim(A233,B233),"")</f>
        <v>1</v>
      </c>
      <c r="E233" t="str" cm="1">
        <f t="array" ref="E233">LLOOKUP(A233,H:H,H:H,0.6,0)</f>
        <v>Zuora</v>
      </c>
      <c r="F233" s="3" cm="1">
        <f t="array" ref="F233">IF(E233&lt;&gt;"",LevenshteinSimilarity(A233,E233),"")</f>
        <v>1</v>
      </c>
      <c r="H233" t="s">
        <v>246</v>
      </c>
      <c r="I233">
        <v>94107</v>
      </c>
    </row>
    <row r="234" spans="1:9">
      <c r="C234" s="3"/>
      <c r="F234" s="3" t="str" cm="1">
        <f t="array" ref="F234">IF(E234&lt;&gt;"",LevenshteinSimilarity(A234,E234),"")</f>
        <v/>
      </c>
      <c r="H234" t="s">
        <v>247</v>
      </c>
      <c r="I234">
        <v>94040</v>
      </c>
    </row>
    <row r="235" spans="1:9">
      <c r="C235" s="3"/>
      <c r="F235" s="3" t="str" cm="1">
        <f t="array" ref="F235">IF(E235&lt;&gt;"",LevenshteinSimilarity(A235,E235),"")</f>
        <v/>
      </c>
      <c r="H235" t="s">
        <v>248</v>
      </c>
      <c r="I235">
        <v>94025</v>
      </c>
    </row>
    <row r="236" spans="1:9">
      <c r="C236" s="3"/>
      <c r="F236" s="3" t="str" cm="1">
        <f t="array" ref="F236">IF(E236&lt;&gt;"",LevenshteinSimilarity(A236,E236),"")</f>
        <v/>
      </c>
      <c r="H236" t="s">
        <v>249</v>
      </c>
      <c r="I236">
        <v>94040</v>
      </c>
    </row>
    <row r="237" spans="1:9">
      <c r="C237" s="3"/>
      <c r="F237" s="3" t="str" cm="1">
        <f t="array" ref="F237">IF(E237&lt;&gt;"",LevenshteinSimilarity(A237,E237),"")</f>
        <v/>
      </c>
      <c r="H237" t="s">
        <v>250</v>
      </c>
      <c r="I237">
        <v>94401</v>
      </c>
    </row>
    <row r="238" spans="1:9">
      <c r="C238" s="3"/>
      <c r="F238" s="3" t="str" cm="1">
        <f t="array" ref="F238">IF(E238&lt;&gt;"",LevenshteinSimilarity(A238,E238),"")</f>
        <v/>
      </c>
      <c r="H238" t="s">
        <v>251</v>
      </c>
      <c r="I238">
        <v>94404</v>
      </c>
    </row>
    <row r="239" spans="1:9">
      <c r="C239" s="3"/>
      <c r="F239" s="3" t="str" cm="1">
        <f t="array" ref="F239">IF(E239&lt;&gt;"",LevenshteinSimilarity(A239,E239),"")</f>
        <v/>
      </c>
      <c r="H239" t="s">
        <v>252</v>
      </c>
      <c r="I239">
        <v>94401</v>
      </c>
    </row>
    <row r="240" spans="1:9">
      <c r="C240" s="3"/>
      <c r="F240" s="3" t="str" cm="1">
        <f t="array" ref="F240">IF(E240&lt;&gt;"",LevenshteinSimilarity(A240,E240),"")</f>
        <v/>
      </c>
      <c r="H240" t="s">
        <v>253</v>
      </c>
      <c r="I240">
        <v>94555</v>
      </c>
    </row>
    <row r="241" spans="2:9">
      <c r="B241" t="str" cm="1">
        <f t="array" ref="B241">SLOOKUP(A241,H:H,H:H,0.5)</f>
        <v/>
      </c>
      <c r="F241" s="3" t="str" cm="1">
        <f t="array" ref="F241">IF(E241&lt;&gt;"",LevenshteinSimilarity(A241,E241),"")</f>
        <v/>
      </c>
      <c r="H241" t="s">
        <v>254</v>
      </c>
      <c r="I241">
        <v>94404</v>
      </c>
    </row>
    <row r="242" spans="2:9">
      <c r="B242" t="str" cm="1">
        <f t="array" ref="B242">SLOOKUP(A242,H:H,H:H,0.5)</f>
        <v/>
      </c>
      <c r="F242" s="3" t="str" cm="1">
        <f t="array" ref="F242">IF(E242&lt;&gt;"",LevenshteinSimilarity(A242,E242),"")</f>
        <v/>
      </c>
      <c r="H242" t="s">
        <v>255</v>
      </c>
      <c r="I242">
        <v>94304</v>
      </c>
    </row>
    <row r="243" spans="2:9">
      <c r="B243" t="str" cm="1">
        <f t="array" ref="B243">SLOOKUP(A243,H:H,H:H,0.5)</f>
        <v/>
      </c>
      <c r="F243" s="3" t="str" cm="1">
        <f t="array" ref="F243">IF(E243&lt;&gt;"",LevenshteinSimilarity(A243,E243),"")</f>
        <v/>
      </c>
      <c r="H243" t="s">
        <v>256</v>
      </c>
      <c r="I243">
        <v>94538</v>
      </c>
    </row>
    <row r="244" spans="2:9">
      <c r="B244" t="str" cm="1">
        <f t="array" ref="B244">SLOOKUP(A244,H:H,H:H,0.5)</f>
        <v/>
      </c>
      <c r="F244" s="3" t="str" cm="1">
        <f t="array" ref="F244">IF(E244&lt;&gt;"",LevenshteinSimilarity(A244,E244),"")</f>
        <v/>
      </c>
      <c r="H244" t="s">
        <v>257</v>
      </c>
      <c r="I244">
        <v>94086</v>
      </c>
    </row>
    <row r="245" spans="2:9">
      <c r="B245" t="str" cm="1">
        <f t="array" ref="B245">SLOOKUP(A245,H:H,H:H,0.5)</f>
        <v/>
      </c>
      <c r="F245" s="3" t="str" cm="1">
        <f t="array" ref="F245">IF(E245&lt;&gt;"",LevenshteinSimilarity(A245,E245),"")</f>
        <v/>
      </c>
      <c r="H245" t="s">
        <v>258</v>
      </c>
      <c r="I245">
        <v>94063</v>
      </c>
    </row>
    <row r="246" spans="2:9">
      <c r="B246" t="str" cm="1">
        <f t="array" ref="B246">SLOOKUP(A246,H:H,H:H,0.5)</f>
        <v/>
      </c>
      <c r="F246" s="3" t="str" cm="1">
        <f t="array" ref="F246">IF(E246&lt;&gt;"",LevenshteinSimilarity(A246,E246),"")</f>
        <v/>
      </c>
      <c r="H246" t="s">
        <v>259</v>
      </c>
    </row>
    <row r="247" spans="2:9">
      <c r="B247" t="str" cm="1">
        <f t="array" ref="B247">SLOOKUP(A247,H:H,H:H,0.5)</f>
        <v/>
      </c>
      <c r="F247" s="3" t="str" cm="1">
        <f t="array" ref="F247">IF(E247&lt;&gt;"",LevenshteinSimilarity(A247,E247),"")</f>
        <v/>
      </c>
      <c r="H247" t="s">
        <v>260</v>
      </c>
      <c r="I247">
        <v>94063</v>
      </c>
    </row>
    <row r="248" spans="2:9">
      <c r="B248" t="str" cm="1">
        <f t="array" ref="B248">SLOOKUP(A248,H:H,H:H,0.5)</f>
        <v/>
      </c>
      <c r="F248" s="3" t="str" cm="1">
        <f t="array" ref="F248">IF(E248&lt;&gt;"",LevenshteinSimilarity(A248,E248),"")</f>
        <v/>
      </c>
      <c r="H248" t="s">
        <v>261</v>
      </c>
      <c r="I248">
        <v>94041</v>
      </c>
    </row>
    <row r="249" spans="2:9">
      <c r="B249" t="str" cm="1">
        <f t="array" ref="B249">SLOOKUP(A249,H:H,H:H,0.5)</f>
        <v/>
      </c>
      <c r="F249" s="3" t="str" cm="1">
        <f t="array" ref="F249">IF(E249&lt;&gt;"",LevenshteinSimilarity(A249,E249),"")</f>
        <v/>
      </c>
      <c r="H249" t="s">
        <v>262</v>
      </c>
      <c r="I249">
        <v>94402</v>
      </c>
    </row>
    <row r="250" spans="2:9">
      <c r="B250" t="str" cm="1">
        <f t="array" ref="B250">SLOOKUP(A250,H:H,H:H,0.5)</f>
        <v/>
      </c>
      <c r="F250" s="3" t="str" cm="1">
        <f t="array" ref="F250">IF(E250&lt;&gt;"",LevenshteinSimilarity(A250,E250),"")</f>
        <v/>
      </c>
      <c r="H250" t="s">
        <v>263</v>
      </c>
      <c r="I250">
        <v>94041</v>
      </c>
    </row>
    <row r="251" spans="2:9">
      <c r="B251" t="str" cm="1">
        <f t="array" ref="B251">SLOOKUP(A251,H:H,H:H,0.5)</f>
        <v/>
      </c>
      <c r="F251" s="3" t="str" cm="1">
        <f t="array" ref="F251">IF(E251&lt;&gt;"",LevenshteinSimilarity(A251,E251),"")</f>
        <v/>
      </c>
      <c r="H251" t="s">
        <v>264</v>
      </c>
      <c r="I251">
        <v>94063</v>
      </c>
    </row>
    <row r="252" spans="2:9">
      <c r="B252" t="str" cm="1">
        <f t="array" ref="B252">SLOOKUP(A252,H:H,H:H,0.5)</f>
        <v/>
      </c>
      <c r="F252" s="3" t="str" cm="1">
        <f t="array" ref="F252">IF(E252&lt;&gt;"",LevenshteinSimilarity(A252,E252),"")</f>
        <v/>
      </c>
      <c r="H252" t="s">
        <v>265</v>
      </c>
      <c r="I252">
        <v>95124</v>
      </c>
    </row>
    <row r="253" spans="2:9">
      <c r="B253" t="str" cm="1">
        <f t="array" ref="B253">SLOOKUP(A253,H:H,H:H,0.5)</f>
        <v/>
      </c>
      <c r="F253" s="3" t="str" cm="1">
        <f t="array" ref="F253">IF(E253&lt;&gt;"",LevenshteinSimilarity(A253,E253),"")</f>
        <v/>
      </c>
      <c r="H253" t="s">
        <v>266</v>
      </c>
      <c r="I253">
        <v>94089</v>
      </c>
    </row>
    <row r="254" spans="2:9">
      <c r="B254" t="str" cm="1">
        <f t="array" ref="B254">SLOOKUP(A254,H:H,H:H,0.5)</f>
        <v/>
      </c>
      <c r="F254" s="3" t="str" cm="1">
        <f t="array" ref="F254">IF(E254&lt;&gt;"",LevenshteinSimilarity(A254,E254),"")</f>
        <v/>
      </c>
      <c r="H254" t="s">
        <v>267</v>
      </c>
      <c r="I254">
        <v>94089</v>
      </c>
    </row>
    <row r="255" spans="2:9">
      <c r="B255" t="str" cm="1">
        <f t="array" ref="B255">SLOOKUP(A255,H:H,H:H,0.5)</f>
        <v/>
      </c>
      <c r="F255" s="3" t="str" cm="1">
        <f t="array" ref="F255">IF(E255&lt;&gt;"",LevenshteinSimilarity(A255,E255),"")</f>
        <v/>
      </c>
      <c r="H255" t="s">
        <v>268</v>
      </c>
      <c r="I255">
        <v>94065</v>
      </c>
    </row>
    <row r="256" spans="2:9">
      <c r="B256" t="str" cm="1">
        <f t="array" ref="B256">SLOOKUP(A256,H:H,H:H,0.5)</f>
        <v/>
      </c>
      <c r="F256" s="3" t="str" cm="1">
        <f t="array" ref="F256">IF(E256&lt;&gt;"",LevenshteinSimilarity(A256,E256),"")</f>
        <v/>
      </c>
      <c r="H256" t="s">
        <v>269</v>
      </c>
      <c r="I256">
        <v>94066</v>
      </c>
    </row>
    <row r="257" spans="2:9">
      <c r="B257" t="str" cm="1">
        <f t="array" ref="B257">SLOOKUP(A257,H:H,H:H,0.5)</f>
        <v/>
      </c>
      <c r="F257" s="3" t="str" cm="1">
        <f t="array" ref="F257">IF(E257&lt;&gt;"",LevenshteinSimilarity(A257,E257),"")</f>
        <v/>
      </c>
      <c r="H257" t="s">
        <v>270</v>
      </c>
      <c r="I257">
        <v>94306</v>
      </c>
    </row>
    <row r="258" spans="2:9">
      <c r="B258" t="str" cm="1">
        <f t="array" ref="B258">SLOOKUP(A258,H:H,H:H,0.5)</f>
        <v/>
      </c>
      <c r="F258" s="3" t="str" cm="1">
        <f t="array" ref="F258">IF(E258&lt;&gt;"",LevenshteinSimilarity(A258,E258),"")</f>
        <v/>
      </c>
      <c r="H258" t="s">
        <v>271</v>
      </c>
      <c r="I258">
        <v>94063</v>
      </c>
    </row>
    <row r="259" spans="2:9">
      <c r="B259" t="str" cm="1">
        <f t="array" ref="B259">SLOOKUP(A259,H:H,H:H,0.5)</f>
        <v/>
      </c>
      <c r="F259" s="3" t="str" cm="1">
        <f t="array" ref="F259">IF(E259&lt;&gt;"",LevenshteinSimilarity(A259,E259),"")</f>
        <v/>
      </c>
      <c r="H259" t="s">
        <v>272</v>
      </c>
      <c r="I259">
        <v>94040</v>
      </c>
    </row>
    <row r="260" spans="2:9">
      <c r="B260" t="str" cm="1">
        <f t="array" ref="B260">SLOOKUP(A260,H:H,H:H,0.5)</f>
        <v/>
      </c>
      <c r="F260" s="3" t="str" cm="1">
        <f t="array" ref="F260">IF(E260&lt;&gt;"",LevenshteinSimilarity(A260,E260),"")</f>
        <v/>
      </c>
      <c r="H260" t="s">
        <v>273</v>
      </c>
      <c r="I260">
        <v>94401</v>
      </c>
    </row>
    <row r="261" spans="2:9">
      <c r="B261" t="str" cm="1">
        <f t="array" ref="B261">SLOOKUP(A261,H:H,H:H,0.5)</f>
        <v/>
      </c>
      <c r="F261" s="3" t="str" cm="1">
        <f t="array" ref="F261">IF(E261&lt;&gt;"",LevenshteinSimilarity(A261,E261),"")</f>
        <v/>
      </c>
      <c r="H261" t="s">
        <v>274</v>
      </c>
      <c r="I261">
        <v>95134</v>
      </c>
    </row>
    <row r="262" spans="2:9">
      <c r="B262" t="str" cm="1">
        <f t="array" ref="B262">SLOOKUP(A262,H:H,H:H,0.5)</f>
        <v/>
      </c>
      <c r="F262" s="3" t="str" cm="1">
        <f t="array" ref="F262">IF(E262&lt;&gt;"",LevenshteinSimilarity(A262,E262),"")</f>
        <v/>
      </c>
      <c r="H262" t="s">
        <v>275</v>
      </c>
      <c r="I262">
        <v>94043</v>
      </c>
    </row>
    <row r="263" spans="2:9">
      <c r="B263" t="str" cm="1">
        <f t="array" ref="B263">SLOOKUP(A263,H:H,H:H,0.5)</f>
        <v/>
      </c>
      <c r="F263" s="3" t="str" cm="1">
        <f t="array" ref="F263">IF(E263&lt;&gt;"",LevenshteinSimilarity(A263,E263),"")</f>
        <v/>
      </c>
      <c r="H263" t="s">
        <v>276</v>
      </c>
      <c r="I263">
        <v>94403</v>
      </c>
    </row>
    <row r="264" spans="2:9">
      <c r="B264" t="str" cm="1">
        <f t="array" ref="B264">SLOOKUP(A264,H:H,H:H,0.5)</f>
        <v/>
      </c>
    </row>
    <row r="265" spans="2:9">
      <c r="B265" t="str" cm="1">
        <f t="array" ref="B265">SLOOKUP(A265,H:H,H:H,0.5)</f>
        <v/>
      </c>
    </row>
    <row r="266" spans="2:9">
      <c r="B266" t="str" cm="1">
        <f t="array" ref="B266">SLOOKUP(A266,H:H,H:H,0.5)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18E80-04A1-634D-A853-B59C7BF3AC56}">
  <sheetPr codeName="Sheet2"/>
  <dimension ref="A1:Q102"/>
  <sheetViews>
    <sheetView workbookViewId="0">
      <selection activeCell="A2" sqref="A2"/>
    </sheetView>
  </sheetViews>
  <sheetFormatPr baseColWidth="10" defaultRowHeight="14"/>
  <cols>
    <col min="1" max="1" width="27.6640625" customWidth="1"/>
    <col min="2" max="2" width="26.83203125" customWidth="1"/>
    <col min="3" max="3" width="23" customWidth="1"/>
    <col min="4" max="6" width="21.5" customWidth="1"/>
    <col min="7" max="7" width="32.5" customWidth="1"/>
    <col min="8" max="8" width="21.5" customWidth="1"/>
  </cols>
  <sheetData>
    <row r="1" spans="1:17">
      <c r="A1" s="1" t="s">
        <v>826</v>
      </c>
      <c r="B1" s="1" t="s">
        <v>827</v>
      </c>
      <c r="C1" s="1" t="s">
        <v>829</v>
      </c>
      <c r="D1" s="1"/>
      <c r="E1" s="2" t="s">
        <v>830</v>
      </c>
      <c r="F1" s="2" t="s">
        <v>831</v>
      </c>
      <c r="G1" s="2" t="s">
        <v>832</v>
      </c>
      <c r="H1" s="2" t="s">
        <v>833</v>
      </c>
      <c r="I1" t="s">
        <v>834</v>
      </c>
    </row>
    <row r="2" spans="1:17">
      <c r="A2" s="7" t="s">
        <v>825</v>
      </c>
      <c r="B2" s="6" t="s">
        <v>568</v>
      </c>
      <c r="C2" t="str">
        <f t="shared" ref="C2:C33" si="0">A2&amp;","&amp;B2</f>
        <v>1984,George Orwell</v>
      </c>
      <c r="E2" t="str" cm="1">
        <f t="array" ref="E2">SLOOKUP(A2,I:I,I:I)</f>
        <v>1984, George Orwell</v>
      </c>
      <c r="F2" t="str" cm="1">
        <f t="array" ref="F2">SLOOKUP(C2,I:I,I:I,0.75,0)</f>
        <v>1984, George Orwell</v>
      </c>
      <c r="G2" t="str" cm="1">
        <f t="array" ref="G2">LLOOKUP(A2,I:I,I:I)</f>
        <v>1984, George Orwell</v>
      </c>
      <c r="H2" t="str" cm="1">
        <f t="array" ref="H2">LLOOKUP(C2,I:I,I:I,0.75,0)</f>
        <v>1984, George Orwell</v>
      </c>
      <c r="I2" t="s">
        <v>773</v>
      </c>
      <c r="N2" s="3" t="s">
        <v>835</v>
      </c>
      <c r="O2" s="3"/>
      <c r="P2" s="3"/>
      <c r="Q2" s="3"/>
    </row>
    <row r="3" spans="1:17" ht="14" customHeight="1">
      <c r="A3" s="6" t="s">
        <v>620</v>
      </c>
      <c r="B3" s="6" t="s">
        <v>621</v>
      </c>
      <c r="C3" t="str">
        <f t="shared" si="0"/>
        <v>Alibi,Agatha Christie</v>
      </c>
      <c r="E3" t="str" cm="1">
        <f t="array" ref="E3">SLOOKUP(A3,I:I,I:I)</f>
        <v/>
      </c>
      <c r="F3" t="str" cm="1">
        <f t="array" ref="F3">SLOOKUP(C3,I:I,I:I,0.75,0)</f>
        <v/>
      </c>
      <c r="G3" t="str" cm="1">
        <f t="array" ref="G3">LLOOKUP(A3,I:I,I:I)</f>
        <v/>
      </c>
      <c r="H3" t="str" cm="1">
        <f t="array" ref="H3">LLOOKUP(C3,I:I,I:I,0.75,0)</f>
        <v/>
      </c>
      <c r="I3" t="s">
        <v>769</v>
      </c>
      <c r="N3" s="3" t="s">
        <v>836</v>
      </c>
      <c r="O3" s="3"/>
      <c r="P3" s="3"/>
      <c r="Q3" s="3"/>
    </row>
    <row r="4" spans="1:17" ht="14" customHeight="1">
      <c r="A4" s="6" t="s">
        <v>558</v>
      </c>
      <c r="B4" s="6" t="s">
        <v>559</v>
      </c>
      <c r="C4" t="str">
        <f t="shared" si="0"/>
        <v>Alkohol,Guillaume Apollinaire</v>
      </c>
      <c r="E4" t="str" cm="1">
        <f t="array" ref="E4">SLOOKUP(A4,I:I,I:I)</f>
        <v/>
      </c>
      <c r="F4" t="str" cm="1">
        <f t="array" ref="F4">SLOOKUP(C4,I:I,I:I,0.75,0)</f>
        <v/>
      </c>
      <c r="G4" t="str" cm="1">
        <f t="array" ref="G4">LLOOKUP(A4,I:I,I:I)</f>
        <v/>
      </c>
      <c r="H4" t="str" cm="1">
        <f t="array" ref="H4">LLOOKUP(C4,I:I,I:I,0.75,0)</f>
        <v/>
      </c>
      <c r="I4" t="s">
        <v>747</v>
      </c>
      <c r="N4" s="3" t="s">
        <v>837</v>
      </c>
      <c r="O4" s="3"/>
      <c r="P4" s="3"/>
      <c r="Q4" s="3"/>
    </row>
    <row r="5" spans="1:17" ht="14" customHeight="1">
      <c r="A5" s="6" t="s">
        <v>648</v>
      </c>
      <c r="B5" s="6" t="s">
        <v>649</v>
      </c>
      <c r="C5" t="str">
        <f t="shared" si="0"/>
        <v>Am Nullpunkt der Literatur,Roland Barthes</v>
      </c>
      <c r="E5" t="str" cm="1">
        <f t="array" ref="E5">SLOOKUP(A5,I:I,I:I)</f>
        <v/>
      </c>
      <c r="F5" t="str" cm="1">
        <f t="array" ref="F5">SLOOKUP(C5,I:I,I:I,0.75,0)</f>
        <v/>
      </c>
      <c r="G5" t="str" cm="1">
        <f t="array" ref="G5">LLOOKUP(A5,I:I,I:I)</f>
        <v/>
      </c>
      <c r="H5" t="str" cm="1">
        <f t="array" ref="H5">LLOOKUP(C5,I:I,I:I,0.75,0)</f>
        <v/>
      </c>
      <c r="I5" t="s">
        <v>749</v>
      </c>
      <c r="N5" s="3" t="s">
        <v>838</v>
      </c>
      <c r="O5" s="3"/>
      <c r="P5" s="3"/>
      <c r="Q5" s="3"/>
    </row>
    <row r="6" spans="1:17" ht="14" customHeight="1">
      <c r="A6" s="6" t="s">
        <v>569</v>
      </c>
      <c r="B6" t="s">
        <v>824</v>
      </c>
      <c r="C6" t="str">
        <f t="shared" si="0"/>
        <v>Asterix der Gallier,René Goscinny und Albert Uderzo</v>
      </c>
      <c r="E6" t="str" cm="1">
        <f t="array" ref="E6">SLOOKUP(A6,I:I,I:I)</f>
        <v/>
      </c>
      <c r="F6" t="str" cm="1">
        <f t="array" ref="F6">SLOOKUP(C6,I:I,I:I,0.75,0)</f>
        <v/>
      </c>
      <c r="G6" t="str" cm="1">
        <f t="array" ref="G6">LLOOKUP(A6,I:I,I:I)</f>
        <v/>
      </c>
      <c r="H6" t="str" cm="1">
        <f t="array" ref="H6">LLOOKUP(C6,I:I,I:I,0.75,0)</f>
        <v/>
      </c>
      <c r="I6" t="s">
        <v>723</v>
      </c>
      <c r="N6" s="3"/>
      <c r="O6" s="3"/>
      <c r="P6" s="3"/>
      <c r="Q6" s="3"/>
    </row>
    <row r="7" spans="1:17" ht="14" customHeight="1">
      <c r="A7" s="6" t="s">
        <v>528</v>
      </c>
      <c r="B7" s="6" t="s">
        <v>529</v>
      </c>
      <c r="C7" t="str">
        <f t="shared" si="0"/>
        <v>Auf der Suche nach der verlorenen Zeit,Marcel Proust</v>
      </c>
      <c r="E7" t="str" cm="1">
        <f t="array" ref="E7">SLOOKUP(A7,I:I,I:I)</f>
        <v>Auf der Suche nach der verlorenen Zeit, Marcel Proust</v>
      </c>
      <c r="F7" t="str" cm="1">
        <f t="array" ref="F7">SLOOKUP(C7,I:I,I:I,0.75,0)</f>
        <v>Auf der Suche nach der verlorenen Zeit, Marcel Proust</v>
      </c>
      <c r="G7" t="str" cm="1">
        <f t="array" ref="G7">LLOOKUP(A7,I:I,I:I)</f>
        <v>Auf der Suche nach der verlorenen Zeit, Marcel Proust</v>
      </c>
      <c r="H7" t="str" cm="1">
        <f t="array" ref="H7">LLOOKUP(C7,I:I,I:I,0.75,0)</f>
        <v>Auf der Suche nach der verlorenen Zeit, Marcel Proust</v>
      </c>
      <c r="I7" t="s">
        <v>738</v>
      </c>
      <c r="N7" s="3"/>
      <c r="O7" s="3"/>
      <c r="P7" s="3"/>
      <c r="Q7" s="3"/>
    </row>
    <row r="8" spans="1:17" ht="14" customHeight="1">
      <c r="A8" s="6" t="s">
        <v>624</v>
      </c>
      <c r="B8" s="6" t="s">
        <v>625</v>
      </c>
      <c r="C8" t="str">
        <f t="shared" si="0"/>
        <v>Aurélien,Louis Aragon</v>
      </c>
      <c r="E8" t="str" cm="1">
        <f t="array" ref="E8">SLOOKUP(A8,I:I,I:I)</f>
        <v/>
      </c>
      <c r="F8" t="str" cm="1">
        <f t="array" ref="F8">SLOOKUP(C8,I:I,I:I,0.75,0)</f>
        <v/>
      </c>
      <c r="G8" t="str" cm="1">
        <f t="array" ref="G8">LLOOKUP(A8,I:I,I:I)</f>
        <v/>
      </c>
      <c r="H8" t="str" cm="1">
        <f t="array" ref="H8">LLOOKUP(C8,I:I,I:I,0.75,0)</f>
        <v/>
      </c>
      <c r="I8" t="s">
        <v>795</v>
      </c>
      <c r="N8" s="3"/>
      <c r="O8" s="3"/>
      <c r="P8" s="3"/>
      <c r="Q8" s="3"/>
    </row>
    <row r="9" spans="1:17" ht="14" customHeight="1">
      <c r="A9" s="6" t="s">
        <v>604</v>
      </c>
      <c r="B9" s="6" t="s">
        <v>605</v>
      </c>
      <c r="C9" t="str">
        <f t="shared" si="0"/>
        <v>Bonjour tristesse,Françoise Sagan</v>
      </c>
      <c r="E9" t="str" cm="1">
        <f t="array" ref="E9">SLOOKUP(A9,I:I,I:I)</f>
        <v/>
      </c>
      <c r="F9" t="str" cm="1">
        <f t="array" ref="F9">SLOOKUP(C9,I:I,I:I,0.75,0)</f>
        <v/>
      </c>
      <c r="G9" t="str" cm="1">
        <f t="array" ref="G9">LLOOKUP(A9,I:I,I:I)</f>
        <v/>
      </c>
      <c r="H9" t="str" cm="1">
        <f t="array" ref="H9">LLOOKUP(C9,I:I,I:I,0.75,0)</f>
        <v/>
      </c>
      <c r="I9" t="s">
        <v>806</v>
      </c>
      <c r="N9" s="3"/>
      <c r="O9" s="3"/>
      <c r="P9" s="3"/>
      <c r="Q9" s="3"/>
    </row>
    <row r="10" spans="1:17" ht="14" customHeight="1">
      <c r="A10" s="6" t="s">
        <v>546</v>
      </c>
      <c r="B10" s="6" t="s">
        <v>547</v>
      </c>
      <c r="C10" t="str">
        <f t="shared" si="0"/>
        <v>Das andere Geschlecht,Simone de Beauvoir</v>
      </c>
      <c r="E10" t="str" cm="1">
        <f t="array" ref="E10">SLOOKUP(A10,I:I,I:I)</f>
        <v/>
      </c>
      <c r="F10" t="str" cm="1">
        <f t="array" ref="F10">SLOOKUP(C10,I:I,I:I,0.75,0)</f>
        <v/>
      </c>
      <c r="G10" t="str" cm="1">
        <f t="array" ref="G10">LLOOKUP(A10,I:I,I:I)</f>
        <v/>
      </c>
      <c r="H10" t="str" cm="1">
        <f t="array" ref="H10">LLOOKUP(C10,I:I,I:I,0.75,0)</f>
        <v/>
      </c>
      <c r="I10" t="s">
        <v>786</v>
      </c>
      <c r="N10" s="3"/>
      <c r="O10" s="3"/>
      <c r="P10" s="3"/>
      <c r="Q10" s="3"/>
    </row>
    <row r="11" spans="1:17" ht="14" customHeight="1">
      <c r="A11" s="6" t="s">
        <v>608</v>
      </c>
      <c r="B11" s="6" t="s">
        <v>609</v>
      </c>
      <c r="C11" t="str">
        <f t="shared" si="0"/>
        <v>Das Leben Gebrauchsanweisung,Georges Perec</v>
      </c>
      <c r="E11" t="str" cm="1">
        <f t="array" ref="E11">SLOOKUP(A11,I:I,I:I)</f>
        <v/>
      </c>
      <c r="F11" t="str" cm="1">
        <f t="array" ref="F11">SLOOKUP(C11,I:I,I:I,0.75,0)</f>
        <v/>
      </c>
      <c r="G11" t="str" cm="1">
        <f t="array" ref="G11">LLOOKUP(A11,I:I,I:I)</f>
        <v/>
      </c>
      <c r="H11" t="str" cm="1">
        <f t="array" ref="H11">LLOOKUP(C11,I:I,I:I,0.75,0)</f>
        <v/>
      </c>
      <c r="I11" t="s">
        <v>808</v>
      </c>
      <c r="N11" s="3"/>
      <c r="O11" s="3"/>
      <c r="P11" s="3"/>
      <c r="Q11" s="3"/>
    </row>
    <row r="12" spans="1:17" ht="14" customHeight="1">
      <c r="A12" s="6" t="s">
        <v>666</v>
      </c>
      <c r="B12" s="6" t="s">
        <v>667</v>
      </c>
      <c r="C12" t="str">
        <f t="shared" si="0"/>
        <v>Das Protokoll,Jean-Marie Gustave Le Clézio</v>
      </c>
      <c r="E12" t="str" cm="1">
        <f t="array" ref="E12">SLOOKUP(A12,I:I,I:I)</f>
        <v/>
      </c>
      <c r="F12" t="str" cm="1">
        <f t="array" ref="F12">SLOOKUP(C12,I:I,I:I,0.75,0)</f>
        <v/>
      </c>
      <c r="G12" t="str" cm="1">
        <f t="array" ref="G12">LLOOKUP(A12,I:I,I:I)</f>
        <v/>
      </c>
      <c r="H12" t="str" cm="1">
        <f t="array" ref="H12">LLOOKUP(C12,I:I,I:I,0.75,0)</f>
        <v/>
      </c>
      <c r="I12" t="s">
        <v>744</v>
      </c>
      <c r="N12" s="3"/>
      <c r="O12" s="3"/>
      <c r="P12" s="3"/>
      <c r="Q12" s="3"/>
    </row>
    <row r="13" spans="1:17" ht="14" customHeight="1">
      <c r="A13" s="6" t="s">
        <v>606</v>
      </c>
      <c r="B13" s="6" t="s">
        <v>607</v>
      </c>
      <c r="C13" t="str">
        <f t="shared" si="0"/>
        <v>Das Schweigen des Meeres,Vercors</v>
      </c>
      <c r="E13" t="str" cm="1">
        <f t="array" ref="E13">SLOOKUP(A13,I:I,I:I)</f>
        <v/>
      </c>
      <c r="F13" t="str" cm="1">
        <f t="array" ref="F13">SLOOKUP(C13,I:I,I:I,0.75,0)</f>
        <v/>
      </c>
      <c r="G13" t="str" cm="1">
        <f t="array" ref="G13">LLOOKUP(A13,I:I,I:I)</f>
        <v/>
      </c>
      <c r="H13" t="str" cm="1">
        <f t="array" ref="H13">LLOOKUP(C13,I:I,I:I,0.75,0)</f>
        <v/>
      </c>
      <c r="I13" t="s">
        <v>823</v>
      </c>
      <c r="N13" s="3"/>
      <c r="O13" s="3"/>
      <c r="P13" s="3"/>
      <c r="Q13" s="3"/>
    </row>
    <row r="14" spans="1:17" ht="14" customHeight="1">
      <c r="A14" s="6" t="s">
        <v>550</v>
      </c>
      <c r="B14" s="6" t="s">
        <v>551</v>
      </c>
      <c r="C14" t="str">
        <f t="shared" si="0"/>
        <v>Das Sein und das Nichts,Jean-Paul Sartre</v>
      </c>
      <c r="E14" t="str" cm="1">
        <f t="array" ref="E14">SLOOKUP(A14,I:I,I:I)</f>
        <v/>
      </c>
      <c r="F14" t="str" cm="1">
        <f t="array" ref="F14">SLOOKUP(C14,I:I,I:I,0.75,0)</f>
        <v/>
      </c>
      <c r="G14" t="str" cm="1">
        <f t="array" ref="G14">LLOOKUP(A14,I:I,I:I)</f>
        <v/>
      </c>
      <c r="H14" t="str" cm="1">
        <f t="array" ref="H14">LLOOKUP(C14,I:I,I:I,0.75,0)</f>
        <v/>
      </c>
      <c r="I14" t="s">
        <v>809</v>
      </c>
      <c r="N14" s="3"/>
      <c r="O14" s="3"/>
      <c r="P14" s="3"/>
      <c r="Q14" s="3"/>
    </row>
    <row r="15" spans="1:17" ht="14" customHeight="1">
      <c r="A15" s="6" t="s">
        <v>676</v>
      </c>
      <c r="B15" s="6" t="s">
        <v>677</v>
      </c>
      <c r="C15" t="str">
        <f t="shared" si="0"/>
        <v>Das Theater und sein Double,Antonin Artaud</v>
      </c>
      <c r="E15" t="str" cm="1">
        <f t="array" ref="E15">SLOOKUP(A15,I:I,I:I)</f>
        <v/>
      </c>
      <c r="F15" t="str" cm="1">
        <f t="array" ref="F15">SLOOKUP(C15,I:I,I:I,0.75,0)</f>
        <v/>
      </c>
      <c r="G15" t="str" cm="1">
        <f t="array" ref="G15">LLOOKUP(A15,I:I,I:I)</f>
        <v/>
      </c>
      <c r="H15" t="str" cm="1">
        <f t="array" ref="H15">LLOOKUP(C15,I:I,I:I,0.75,0)</f>
        <v/>
      </c>
      <c r="I15" t="s">
        <v>734</v>
      </c>
      <c r="N15" s="3"/>
      <c r="O15" s="3"/>
      <c r="P15" s="3"/>
      <c r="Q15" s="3"/>
    </row>
    <row r="16" spans="1:17" ht="14" customHeight="1">
      <c r="A16" s="6" t="s">
        <v>652</v>
      </c>
      <c r="B16" s="6" t="s">
        <v>653</v>
      </c>
      <c r="C16" t="str">
        <f t="shared" si="0"/>
        <v>Das Ufer der Syrten,Julien Gracq</v>
      </c>
      <c r="E16" t="str" cm="1">
        <f t="array" ref="E16">SLOOKUP(A16,I:I,I:I)</f>
        <v/>
      </c>
      <c r="F16" t="str" cm="1">
        <f t="array" ref="F16">SLOOKUP(C16,I:I,I:I,0.75,0)</f>
        <v/>
      </c>
      <c r="G16" t="str" cm="1">
        <f t="array" ref="G16">LLOOKUP(A16,I:I,I:I)</f>
        <v/>
      </c>
      <c r="H16" t="str" cm="1">
        <f t="array" ref="H16">LLOOKUP(C16,I:I,I:I,0.75,0)</f>
        <v/>
      </c>
      <c r="I16" t="s">
        <v>755</v>
      </c>
      <c r="N16" s="3"/>
      <c r="O16" s="3"/>
      <c r="P16" s="3"/>
      <c r="Q16" s="3"/>
    </row>
    <row r="17" spans="1:17" ht="14" customHeight="1">
      <c r="A17" s="6" t="s">
        <v>554</v>
      </c>
      <c r="B17" s="6" t="s">
        <v>555</v>
      </c>
      <c r="C17" t="str">
        <f t="shared" si="0"/>
        <v>Der Archipel Gulag,Alexander Solschenizyn</v>
      </c>
      <c r="E17" t="str" cm="1">
        <f t="array" ref="E17">SLOOKUP(A17,I:I,I:I)</f>
        <v/>
      </c>
      <c r="F17" t="str" cm="1">
        <f t="array" ref="F17">SLOOKUP(C17,I:I,I:I,0.75,0)</f>
        <v/>
      </c>
      <c r="G17" t="str" cm="1">
        <f t="array" ref="G17">LLOOKUP(A17,I:I,I:I)</f>
        <v/>
      </c>
      <c r="H17" t="str" cm="1">
        <f t="array" ref="H17">LLOOKUP(C17,I:I,I:I,0.75,0)</f>
        <v/>
      </c>
      <c r="I17" t="s">
        <v>737</v>
      </c>
      <c r="N17" s="3"/>
      <c r="O17" s="3"/>
      <c r="P17" s="3"/>
      <c r="Q17" s="3"/>
    </row>
    <row r="18" spans="1:17" ht="14" customHeight="1">
      <c r="A18" s="6" t="s">
        <v>630</v>
      </c>
      <c r="B18" s="6" t="s">
        <v>631</v>
      </c>
      <c r="C18" t="str">
        <f t="shared" si="0"/>
        <v>Der aufhaltsame Aufstieg des Arturo Ui,Bertolt Brecht</v>
      </c>
      <c r="E18" t="str" cm="1">
        <f t="array" ref="E18">SLOOKUP(A18,I:I,I:I)</f>
        <v/>
      </c>
      <c r="F18" t="str" cm="1">
        <f t="array" ref="F18">SLOOKUP(C18,I:I,I:I,0.75,0)</f>
        <v/>
      </c>
      <c r="G18" t="str" cm="1">
        <f t="array" ref="G18">LLOOKUP(A18,I:I,I:I)</f>
        <v/>
      </c>
      <c r="H18" t="str" cm="1">
        <f t="array" ref="H18">LLOOKUP(C18,I:I,I:I,0.75,0)</f>
        <v/>
      </c>
      <c r="I18" t="s">
        <v>766</v>
      </c>
      <c r="N18" s="3"/>
      <c r="O18" s="3"/>
      <c r="P18" s="3"/>
      <c r="Q18" s="3"/>
    </row>
    <row r="19" spans="1:17" ht="14" customHeight="1">
      <c r="A19" s="6" t="s">
        <v>560</v>
      </c>
      <c r="B19" s="6" t="s">
        <v>561</v>
      </c>
      <c r="C19" t="str">
        <f t="shared" si="0"/>
        <v>Der Blaue Lotos,Hergé</v>
      </c>
      <c r="E19" t="str" cm="1">
        <f t="array" ref="E19">SLOOKUP(A19,I:I,I:I)</f>
        <v/>
      </c>
      <c r="F19" t="str" cm="1">
        <f t="array" ref="F19">SLOOKUP(C19,I:I,I:I,0.75,0)</f>
        <v/>
      </c>
      <c r="G19" t="str" cm="1">
        <f t="array" ref="G19">LLOOKUP(A19,I:I,I:I)</f>
        <v/>
      </c>
      <c r="H19" t="str" cm="1">
        <f t="array" ref="H19">LLOOKUP(C19,I:I,I:I,0.75,0)</f>
        <v/>
      </c>
      <c r="I19" t="s">
        <v>730</v>
      </c>
      <c r="N19" s="3"/>
      <c r="O19" s="3"/>
      <c r="P19" s="3"/>
      <c r="Q19" s="3"/>
    </row>
    <row r="20" spans="1:17" ht="14" customHeight="1">
      <c r="A20" s="6" t="s">
        <v>698</v>
      </c>
      <c r="B20" s="6" t="s">
        <v>699</v>
      </c>
      <c r="C20" t="str">
        <f t="shared" si="0"/>
        <v>Der Fänger im Roggen,J. D. Salinger</v>
      </c>
      <c r="E20" t="str" cm="1">
        <f t="array" ref="E20">SLOOKUP(A20,I:I,I:I)</f>
        <v/>
      </c>
      <c r="F20" t="str" cm="1">
        <f t="array" ref="F20">SLOOKUP(C20,I:I,I:I,0.75,0)</f>
        <v/>
      </c>
      <c r="G20" t="str" cm="1">
        <f t="array" ref="G20">LLOOKUP(A20,I:I,I:I)</f>
        <v/>
      </c>
      <c r="H20" t="str" cm="1">
        <f t="array" ref="H20">LLOOKUP(C20,I:I,I:I,0.75,0)</f>
        <v/>
      </c>
      <c r="I20" t="s">
        <v>757</v>
      </c>
      <c r="N20" s="3"/>
      <c r="O20" s="3"/>
      <c r="P20" s="3"/>
      <c r="Q20" s="3"/>
    </row>
    <row r="21" spans="1:17" ht="14" customHeight="1">
      <c r="A21" s="6" t="s">
        <v>526</v>
      </c>
      <c r="B21" s="6" t="s">
        <v>527</v>
      </c>
      <c r="C21" t="str">
        <f t="shared" si="0"/>
        <v>Der Fremde,Albert Camus</v>
      </c>
      <c r="E21" t="str" cm="1">
        <f t="array" ref="E21">SLOOKUP(A21,I:I,I:I)</f>
        <v>Der Fremde, Albert Camus</v>
      </c>
      <c r="F21" t="str" cm="1">
        <f t="array" ref="F21">SLOOKUP(C21,I:I,I:I,0.75,0)</f>
        <v>Der Fremde, Albert Camus</v>
      </c>
      <c r="G21" t="str" cm="1">
        <f t="array" ref="G21">LLOOKUP(A21,I:I,I:I)</f>
        <v>Der Fremde, Albert Camus</v>
      </c>
      <c r="H21" t="str" cm="1">
        <f t="array" ref="H21">LLOOKUP(C21,I:I,I:I,0.75,0)</f>
        <v>Der Fremde, Albert Camus</v>
      </c>
      <c r="I21" t="s">
        <v>745</v>
      </c>
      <c r="N21" s="3"/>
      <c r="O21" s="3"/>
      <c r="P21" s="3"/>
      <c r="Q21" s="3"/>
    </row>
    <row r="22" spans="1:17" ht="14" customHeight="1">
      <c r="A22" s="6" t="s">
        <v>684</v>
      </c>
      <c r="B22" s="6" t="s">
        <v>685</v>
      </c>
      <c r="C22" t="str">
        <f t="shared" si="0"/>
        <v>Der General der toten Armee,Ismail Kadare</v>
      </c>
      <c r="E22" t="str" cm="1">
        <f t="array" ref="E22">SLOOKUP(A22,I:I,I:I)</f>
        <v/>
      </c>
      <c r="F22" t="str" cm="1">
        <f t="array" ref="F22">SLOOKUP(C22,I:I,I:I,0.75,0)</f>
        <v/>
      </c>
      <c r="G22" t="str" cm="1">
        <f t="array" ref="G22">LLOOKUP(A22,I:I,I:I)</f>
        <v/>
      </c>
      <c r="H22" t="str" cm="1">
        <f t="array" ref="H22">LLOOKUP(C22,I:I,I:I,0.75,0)</f>
        <v/>
      </c>
      <c r="I22" t="s">
        <v>778</v>
      </c>
      <c r="N22" s="3"/>
      <c r="O22" s="3"/>
      <c r="P22" s="3"/>
      <c r="Q22" s="3"/>
    </row>
    <row r="23" spans="1:17" ht="14" customHeight="1">
      <c r="A23" s="6" t="s">
        <v>614</v>
      </c>
      <c r="B23" s="6" t="s">
        <v>615</v>
      </c>
      <c r="C23" t="str">
        <f t="shared" si="0"/>
        <v>Der große Gatsby,F. Scott Fitzgerald</v>
      </c>
      <c r="E23" t="str" cm="1">
        <f t="array" ref="E23">SLOOKUP(A23,I:I,I:I)</f>
        <v>Der große Gatsby, F. Scott Fitzgerald</v>
      </c>
      <c r="F23" t="str" cm="1">
        <f t="array" ref="F23">SLOOKUP(C23,I:I,I:I,0.75,0)</f>
        <v>Der große Gatsby, F. Scott Fitzgerald</v>
      </c>
      <c r="G23" t="str" cm="1">
        <f t="array" ref="G23">LLOOKUP(A23,I:I,I:I)</f>
        <v>Der große Gatsby, F. Scott Fitzgerald</v>
      </c>
      <c r="H23" t="str" cm="1">
        <f t="array" ref="H23">LLOOKUP(C23,I:I,I:I,0.75,0)</f>
        <v>Der große Gatsby, F. Scott Fitzgerald</v>
      </c>
      <c r="I23" t="s">
        <v>753</v>
      </c>
      <c r="N23" s="3"/>
      <c r="O23" s="3"/>
      <c r="P23" s="3"/>
      <c r="Q23" s="3"/>
    </row>
    <row r="24" spans="1:17" ht="14" customHeight="1">
      <c r="A24" s="6" t="s">
        <v>542</v>
      </c>
      <c r="B24" s="6" t="s">
        <v>543</v>
      </c>
      <c r="C24" t="str">
        <f t="shared" si="0"/>
        <v>Der große Meaulnes,Alain-Fournier</v>
      </c>
      <c r="E24" t="str" cm="1">
        <f t="array" ref="E24">SLOOKUP(A24,I:I,I:I)</f>
        <v/>
      </c>
      <c r="F24" t="str" cm="1">
        <f t="array" ref="F24">SLOOKUP(C24,I:I,I:I,0.75,0)</f>
        <v/>
      </c>
      <c r="G24" t="str" cm="1">
        <f t="array" ref="G24">LLOOKUP(A24,I:I,I:I)</f>
        <v/>
      </c>
      <c r="H24" t="str" cm="1">
        <f t="array" ref="H24">LLOOKUP(C24,I:I,I:I,0.75,0)</f>
        <v/>
      </c>
      <c r="I24" t="s">
        <v>768</v>
      </c>
      <c r="N24" s="3"/>
      <c r="O24" s="3"/>
      <c r="P24" s="3"/>
      <c r="Q24" s="3"/>
    </row>
    <row r="25" spans="1:17" ht="14" customHeight="1">
      <c r="A25" s="6" t="s">
        <v>713</v>
      </c>
      <c r="B25" s="6" t="s">
        <v>714</v>
      </c>
      <c r="C25" t="str">
        <f t="shared" si="0"/>
        <v>Der große Schlaf,Raymond Chandler</v>
      </c>
      <c r="E25" t="str" cm="1">
        <f t="array" ref="E25">SLOOKUP(A25,I:I,I:I)</f>
        <v/>
      </c>
      <c r="F25" t="str" cm="1">
        <f t="array" ref="F25">SLOOKUP(C25,I:I,I:I,0.75,0)</f>
        <v/>
      </c>
      <c r="G25" t="str" cm="1">
        <f t="array" ref="G25">LLOOKUP(A25,I:I,I:I)</f>
        <v/>
      </c>
      <c r="H25" t="str" cm="1">
        <f t="array" ref="H25">LLOOKUP(C25,I:I,I:I,0.75,0)</f>
        <v/>
      </c>
      <c r="I25" t="s">
        <v>750</v>
      </c>
      <c r="N25" s="3"/>
      <c r="O25" s="3"/>
      <c r="P25" s="3"/>
      <c r="Q25" s="3"/>
    </row>
    <row r="26" spans="1:17" ht="14" customHeight="1">
      <c r="A26" s="6" t="s">
        <v>638</v>
      </c>
      <c r="B26" s="6" t="s">
        <v>639</v>
      </c>
      <c r="C26" t="str">
        <f t="shared" si="0"/>
        <v>Der Herr der Ringe,J. R. R. Tolkien</v>
      </c>
      <c r="E26" t="str" cm="1">
        <f t="array" ref="E26">SLOOKUP(A26,I:I,I:I)</f>
        <v>Der Herr der Ringe, J.R.R. Tolkien</v>
      </c>
      <c r="F26" t="str" cm="1">
        <f t="array" ref="F26">SLOOKUP(C26,I:I,I:I,0.75,0)</f>
        <v>Der Herr der Ringe, J.R.R. Tolkien</v>
      </c>
      <c r="G26" t="str" cm="1">
        <f t="array" ref="G26">LLOOKUP(A26,I:I,I:I)</f>
        <v>Der Herr der Ringe, J.R.R. Tolkien</v>
      </c>
      <c r="H26" t="str" cm="1">
        <f t="array" ref="H26">LLOOKUP(C26,I:I,I:I,0.75,0)</f>
        <v>Der Herr der Ringe, J.R.R. Tolkien</v>
      </c>
      <c r="I26" t="s">
        <v>811</v>
      </c>
      <c r="N26" s="3"/>
      <c r="O26" s="3"/>
      <c r="P26" s="3"/>
      <c r="Q26" s="3"/>
    </row>
    <row r="27" spans="1:17" ht="14" customHeight="1">
      <c r="A27" s="6" t="s">
        <v>610</v>
      </c>
      <c r="B27" s="6" t="s">
        <v>611</v>
      </c>
      <c r="C27" t="str">
        <f t="shared" si="0"/>
        <v>Der Hund von Baskerville,Arthur Conan Doyle</v>
      </c>
      <c r="E27" t="str" cm="1">
        <f t="array" ref="E27">SLOOKUP(A27,I:I,I:I)</f>
        <v/>
      </c>
      <c r="F27" t="str" cm="1">
        <f t="array" ref="F27">SLOOKUP(C27,I:I,I:I,0.75,0)</f>
        <v/>
      </c>
      <c r="G27" t="str" cm="1">
        <f t="array" ref="G27">LLOOKUP(A27,I:I,I:I)</f>
        <v/>
      </c>
      <c r="H27" t="str" cm="1">
        <f t="array" ref="H27">LLOOKUP(C27,I:I,I:I,0.75,0)</f>
        <v/>
      </c>
      <c r="I27" t="s">
        <v>803</v>
      </c>
      <c r="N27" s="3"/>
      <c r="O27" s="3"/>
      <c r="P27" s="3"/>
      <c r="Q27" s="3"/>
    </row>
    <row r="28" spans="1:17" ht="14" customHeight="1">
      <c r="A28" s="6" t="s">
        <v>584</v>
      </c>
      <c r="B28" s="6" t="s">
        <v>585</v>
      </c>
      <c r="C28" t="str">
        <f t="shared" si="0"/>
        <v>Der Husar auf dem Dach,Jean Giono</v>
      </c>
      <c r="E28" t="str" cm="1">
        <f t="array" ref="E28">SLOOKUP(A28,I:I,I:I)</f>
        <v/>
      </c>
      <c r="F28" t="str" cm="1">
        <f t="array" ref="F28">SLOOKUP(C28,I:I,I:I,0.75,0)</f>
        <v/>
      </c>
      <c r="G28" t="str" cm="1">
        <f t="array" ref="G28">LLOOKUP(A28,I:I,I:I)</f>
        <v/>
      </c>
      <c r="H28" t="str" cm="1">
        <f t="array" ref="H28">LLOOKUP(C28,I:I,I:I,0.75,0)</f>
        <v/>
      </c>
      <c r="I28" t="s">
        <v>792</v>
      </c>
      <c r="N28" s="3"/>
      <c r="O28" s="3"/>
      <c r="P28" s="3"/>
      <c r="Q28" s="3"/>
    </row>
    <row r="29" spans="1:17" ht="14" customHeight="1">
      <c r="A29" s="6" t="s">
        <v>532</v>
      </c>
      <c r="B29" s="6" t="s">
        <v>533</v>
      </c>
      <c r="C29" t="str">
        <f t="shared" si="0"/>
        <v>Der kleine Prinz,Antoine de Saint-Exupéry</v>
      </c>
      <c r="E29" t="str" cm="1">
        <f t="array" ref="E29">SLOOKUP(A29,I:I,I:I)</f>
        <v>Der kleine Prinz, Antoine de Saint-Exupéry</v>
      </c>
      <c r="F29" t="str" cm="1">
        <f t="array" ref="F29">SLOOKUP(C29,I:I,I:I,0.75,0)</f>
        <v>Der kleine Prinz, Antoine de Saint-Exupéry</v>
      </c>
      <c r="G29" t="str" cm="1">
        <f t="array" ref="G29">LLOOKUP(A29,I:I,I:I)</f>
        <v>Der kleine Prinz, Antoine de Saint-Exupéry</v>
      </c>
      <c r="H29" t="str" cm="1">
        <f t="array" ref="H29">LLOOKUP(C29,I:I,I:I,0.75,0)</f>
        <v>Der kleine Prinz, Antoine de Saint-Exupéry</v>
      </c>
      <c r="I29" t="s">
        <v>746</v>
      </c>
      <c r="N29" s="3"/>
      <c r="O29" s="3"/>
      <c r="P29" s="3"/>
      <c r="Q29" s="3"/>
    </row>
    <row r="30" spans="1:17" ht="14" customHeight="1">
      <c r="A30" s="6" t="s">
        <v>634</v>
      </c>
      <c r="B30" s="6" t="s">
        <v>635</v>
      </c>
      <c r="C30" t="str">
        <f t="shared" si="0"/>
        <v>Der Krieg der Welten,H. G. Wells</v>
      </c>
      <c r="E30" t="str" cm="1">
        <f t="array" ref="E30">SLOOKUP(A30,I:I,I:I)</f>
        <v/>
      </c>
      <c r="F30" t="str" cm="1">
        <f t="array" ref="F30">SLOOKUP(C30,I:I,I:I,0.75,0)</f>
        <v/>
      </c>
      <c r="G30" t="str" cm="1">
        <f t="array" ref="G30">LLOOKUP(A30,I:I,I:I)</f>
        <v/>
      </c>
      <c r="H30" t="str" cm="1">
        <f t="array" ref="H30">LLOOKUP(C30,I:I,I:I,0.75,0)</f>
        <v/>
      </c>
      <c r="I30" t="s">
        <v>817</v>
      </c>
      <c r="N30" s="3"/>
      <c r="O30" s="3"/>
      <c r="P30" s="3"/>
      <c r="Q30" s="3"/>
    </row>
    <row r="31" spans="1:17" ht="14" customHeight="1">
      <c r="A31" s="6" t="s">
        <v>694</v>
      </c>
      <c r="B31" s="6" t="s">
        <v>695</v>
      </c>
      <c r="C31" t="str">
        <f t="shared" si="0"/>
        <v>Der Mann ohne Eigenschaften,Robert Musil</v>
      </c>
      <c r="E31" t="str" cm="1">
        <f t="array" ref="E31">SLOOKUP(A31,I:I,I:I)</f>
        <v>Der Mann ohne Eigenschaften, Robert Musil</v>
      </c>
      <c r="F31" t="str" cm="1">
        <f t="array" ref="F31">SLOOKUP(C31,I:I,I:I,0.75,0)</f>
        <v>Der Mann ohne Eigenschaften, Robert Musil</v>
      </c>
      <c r="G31" t="str" cm="1">
        <f t="array" ref="G31">LLOOKUP(A31,I:I,I:I)</f>
        <v>Der Mann ohne Eigenschaften, Robert Musil</v>
      </c>
      <c r="H31" t="str" cm="1">
        <f t="array" ref="H31">LLOOKUP(C31,I:I,I:I,0.75,0)</f>
        <v>Der Mann ohne Eigenschaften, Robert Musil</v>
      </c>
      <c r="I31" t="s">
        <v>780</v>
      </c>
      <c r="N31" s="3"/>
      <c r="O31" s="3"/>
      <c r="P31" s="3"/>
      <c r="Q31" s="3"/>
    </row>
    <row r="32" spans="1:17" ht="14" customHeight="1">
      <c r="A32" s="6" t="s">
        <v>710</v>
      </c>
      <c r="B32" s="6" t="s">
        <v>711</v>
      </c>
      <c r="C32" t="str">
        <f t="shared" si="0"/>
        <v>Der Meister und Margarita,Michail Bulgakow</v>
      </c>
      <c r="E32" t="str" cm="1">
        <f t="array" ref="E32">SLOOKUP(A32,I:I,I:I)</f>
        <v/>
      </c>
      <c r="F32" t="str" cm="1">
        <f t="array" ref="F32">SLOOKUP(C32,I:I,I:I,0.75,0)</f>
        <v/>
      </c>
      <c r="G32" t="str" cm="1">
        <f t="array" ref="G32">LLOOKUP(A32,I:I,I:I)</f>
        <v/>
      </c>
      <c r="H32" t="str" cm="1">
        <f t="array" ref="H32">LLOOKUP(C32,I:I,I:I,0.75,0)</f>
        <v/>
      </c>
      <c r="I32" t="s">
        <v>739</v>
      </c>
      <c r="N32" s="3"/>
      <c r="O32" s="3"/>
      <c r="P32" s="3"/>
      <c r="Q32" s="3"/>
    </row>
    <row r="33" spans="1:17" ht="14" customHeight="1">
      <c r="A33" s="6" t="s">
        <v>552</v>
      </c>
      <c r="B33" s="6" t="s">
        <v>553</v>
      </c>
      <c r="C33" t="str">
        <f t="shared" si="0"/>
        <v>Der Name der Rose,Umberto Eco</v>
      </c>
      <c r="E33" t="str" cm="1">
        <f t="array" ref="E33">SLOOKUP(A33,I:I,I:I)</f>
        <v>Der Name der Rose, Umberto Eco</v>
      </c>
      <c r="F33" t="str" cm="1">
        <f t="array" ref="F33">SLOOKUP(C33,I:I,I:I,0.75,0)</f>
        <v>Der Name der Rose, Umberto Eco</v>
      </c>
      <c r="G33" t="str" cm="1">
        <f t="array" ref="G33">LLOOKUP(A33,I:I,I:I)</f>
        <v>Der Name der Rose, Umberto Eco</v>
      </c>
      <c r="H33" t="str" cm="1">
        <f t="array" ref="H33">LLOOKUP(C33,I:I,I:I,0.75,0)</f>
        <v>Der Name der Rose, Umberto Eco</v>
      </c>
      <c r="I33" t="s">
        <v>818</v>
      </c>
      <c r="N33" s="3"/>
      <c r="O33" s="3"/>
      <c r="P33" s="3"/>
      <c r="Q33" s="3"/>
    </row>
    <row r="34" spans="1:17" ht="14" customHeight="1">
      <c r="A34" s="6" t="s">
        <v>530</v>
      </c>
      <c r="B34" s="6" t="s">
        <v>531</v>
      </c>
      <c r="C34" t="str">
        <f t="shared" ref="C34:C65" si="1">A34&amp;","&amp;B34</f>
        <v>Der Prozess,Franz Kafka</v>
      </c>
      <c r="E34" t="str" cm="1">
        <f t="array" ref="E34">SLOOKUP(A34,I:I,I:I)</f>
        <v>Der Prozeß, Franz Kafka</v>
      </c>
      <c r="F34" t="str" cm="1">
        <f t="array" ref="F34">SLOOKUP(C34,I:I,I:I,0.75,0)</f>
        <v>Der Prozeß, Franz Kafka</v>
      </c>
      <c r="G34" t="str" cm="1">
        <f t="array" ref="G34">LLOOKUP(A34,I:I,I:I)</f>
        <v>Der Prozeß, Franz Kafka</v>
      </c>
      <c r="H34" t="str" cm="1">
        <f t="array" ref="H34">LLOOKUP(C34,I:I,I:I,0.75,0)</f>
        <v>Der Prozeß, Franz Kafka</v>
      </c>
      <c r="I34" t="s">
        <v>729</v>
      </c>
      <c r="N34" s="3"/>
      <c r="O34" s="3"/>
      <c r="P34" s="3"/>
      <c r="Q34" s="3"/>
    </row>
    <row r="35" spans="1:17" ht="14" customHeight="1">
      <c r="A35" s="6" t="s">
        <v>544</v>
      </c>
      <c r="B35" s="6" t="s">
        <v>545</v>
      </c>
      <c r="C35" t="str">
        <f t="shared" si="1"/>
        <v>Der Schaum der Tage,Boris Vian</v>
      </c>
      <c r="E35" t="str" cm="1">
        <f t="array" ref="E35">SLOOKUP(A35,I:I,I:I)</f>
        <v/>
      </c>
      <c r="F35" t="str" cm="1">
        <f t="array" ref="F35">SLOOKUP(C35,I:I,I:I,0.75,0)</f>
        <v/>
      </c>
      <c r="G35" t="str" cm="1">
        <f t="array" ref="G35">LLOOKUP(A35,I:I,I:I)</f>
        <v/>
      </c>
      <c r="H35" t="str" cm="1">
        <f t="array" ref="H35">LLOOKUP(C35,I:I,I:I,0.75,0)</f>
        <v/>
      </c>
      <c r="I35" t="s">
        <v>788</v>
      </c>
      <c r="N35" s="3"/>
      <c r="O35" s="3"/>
      <c r="P35" s="3"/>
      <c r="Q35" s="3"/>
    </row>
    <row r="36" spans="1:17" ht="14" customHeight="1">
      <c r="A36" s="6" t="s">
        <v>616</v>
      </c>
      <c r="B36" s="6" t="s">
        <v>617</v>
      </c>
      <c r="C36" t="str">
        <f t="shared" si="1"/>
        <v>Der Scherz,Milan Kundera</v>
      </c>
      <c r="E36" t="str" cm="1">
        <f t="array" ref="E36">SLOOKUP(A36,I:I,I:I)</f>
        <v/>
      </c>
      <c r="F36" t="str" cm="1">
        <f t="array" ref="F36">SLOOKUP(C36,I:I,I:I,0.75,0)</f>
        <v/>
      </c>
      <c r="G36" t="str" cm="1">
        <f t="array" ref="G36">LLOOKUP(A36,I:I,I:I)</f>
        <v/>
      </c>
      <c r="H36" t="str" cm="1">
        <f t="array" ref="H36">LLOOKUP(C36,I:I,I:I,0.75,0)</f>
        <v/>
      </c>
      <c r="I36" t="s">
        <v>800</v>
      </c>
      <c r="N36" s="3"/>
      <c r="O36" s="3"/>
      <c r="P36" s="3"/>
      <c r="Q36" s="3"/>
    </row>
    <row r="37" spans="1:17" ht="14" customHeight="1">
      <c r="A37" s="6" t="s">
        <v>626</v>
      </c>
      <c r="B37" s="6" t="s">
        <v>627</v>
      </c>
      <c r="C37" t="str">
        <f t="shared" si="1"/>
        <v>Der seidene Schuh,Paul Claudel</v>
      </c>
      <c r="E37" t="str" cm="1">
        <f t="array" ref="E37">SLOOKUP(A37,I:I,I:I)</f>
        <v/>
      </c>
      <c r="F37" t="str" cm="1">
        <f t="array" ref="F37">SLOOKUP(C37,I:I,I:I,0.75,0)</f>
        <v/>
      </c>
      <c r="G37" t="str" cm="1">
        <f t="array" ref="G37">LLOOKUP(A37,I:I,I:I)</f>
        <v/>
      </c>
      <c r="H37" t="str" cm="1">
        <f t="array" ref="H37">LLOOKUP(C37,I:I,I:I,0.75,0)</f>
        <v/>
      </c>
      <c r="I37" t="s">
        <v>742</v>
      </c>
      <c r="N37" s="3"/>
      <c r="O37" s="3"/>
      <c r="P37" s="3"/>
      <c r="Q37" s="3"/>
    </row>
    <row r="38" spans="1:17" ht="14" customHeight="1">
      <c r="A38" s="6" t="s">
        <v>602</v>
      </c>
      <c r="B38" s="6" t="s">
        <v>603</v>
      </c>
      <c r="C38" t="str">
        <f t="shared" si="1"/>
        <v>Der Zauberberg,Thomas Mann</v>
      </c>
      <c r="E38" t="str" cm="1">
        <f t="array" ref="E38">SLOOKUP(A38,I:I,I:I)</f>
        <v/>
      </c>
      <c r="F38" t="str" cm="1">
        <f t="array" ref="F38">SLOOKUP(C38,I:I,I:I,0.75,0)</f>
        <v/>
      </c>
      <c r="G38" t="str" cm="1">
        <f t="array" ref="G38">LLOOKUP(A38,I:I,I:I)</f>
        <v/>
      </c>
      <c r="H38" t="str" cm="1">
        <f t="array" ref="H38">LLOOKUP(C38,I:I,I:I,0.75,0)</f>
        <v/>
      </c>
      <c r="I38" t="s">
        <v>731</v>
      </c>
      <c r="N38" s="3"/>
      <c r="O38" s="3"/>
      <c r="P38" s="3"/>
      <c r="Q38" s="3"/>
    </row>
    <row r="39" spans="1:17" ht="14" customHeight="1">
      <c r="A39" s="6" t="s">
        <v>702</v>
      </c>
      <c r="B39" s="6" t="s">
        <v>703</v>
      </c>
      <c r="C39" t="str">
        <f t="shared" si="1"/>
        <v>Die Abenteuer von Blake und Mortimer,Edgar P. Jacobs</v>
      </c>
      <c r="E39" t="str" cm="1">
        <f t="array" ref="E39">SLOOKUP(A39,I:I,I:I)</f>
        <v/>
      </c>
      <c r="F39" t="str" cm="1">
        <f t="array" ref="F39">SLOOKUP(C39,I:I,I:I,0.75,0)</f>
        <v/>
      </c>
      <c r="G39" t="str" cm="1">
        <f t="array" ref="G39">LLOOKUP(A39,I:I,I:I)</f>
        <v/>
      </c>
      <c r="H39" t="str" cm="1">
        <f t="array" ref="H39">LLOOKUP(C39,I:I,I:I,0.75,0)</f>
        <v/>
      </c>
      <c r="I39" t="s">
        <v>775</v>
      </c>
      <c r="N39" s="3"/>
      <c r="O39" s="3"/>
      <c r="P39" s="3"/>
      <c r="Q39" s="3"/>
    </row>
    <row r="40" spans="1:17" ht="14" customHeight="1">
      <c r="A40" s="6" t="s">
        <v>704</v>
      </c>
      <c r="B40" s="6" t="s">
        <v>705</v>
      </c>
      <c r="C40" t="str">
        <f t="shared" si="1"/>
        <v>Die Aufzeichnungen des Malte Laurids Brigge,Rainer Maria Rilke</v>
      </c>
      <c r="E40" t="str" cm="1">
        <f t="array" ref="E40">SLOOKUP(A40,I:I,I:I)</f>
        <v>Die Aufzeichnung des Malte Laurids Brigge, Rainer Maria Rilke</v>
      </c>
      <c r="F40" t="str" cm="1">
        <f t="array" ref="F40">SLOOKUP(C40,I:I,I:I,0.75,0)</f>
        <v>Die Aufzeichnung des Malte Laurids Brigge, Rainer Maria Rilke</v>
      </c>
      <c r="G40" t="str" cm="1">
        <f t="array" ref="G40">LLOOKUP(A40,I:I,I:I)</f>
        <v>Die Aufzeichnung des Malte Laurids Brigge, Rainer Maria Rilke</v>
      </c>
      <c r="H40" t="str" cm="1">
        <f t="array" ref="H40">LLOOKUP(C40,I:I,I:I,0.75,0)</f>
        <v>Die Aufzeichnung des Malte Laurids Brigge, Rainer Maria Rilke</v>
      </c>
      <c r="I40" t="s">
        <v>774</v>
      </c>
      <c r="N40" s="3"/>
      <c r="O40" s="3"/>
      <c r="P40" s="3"/>
      <c r="Q40" s="3"/>
    </row>
    <row r="41" spans="1:17" ht="14" customHeight="1">
      <c r="A41" s="6" t="s">
        <v>582</v>
      </c>
      <c r="B41" s="6" t="s">
        <v>583</v>
      </c>
      <c r="C41" t="str">
        <f t="shared" si="1"/>
        <v>Die Falschmünzer,André Gide</v>
      </c>
      <c r="E41" t="str" cm="1">
        <f t="array" ref="E41">SLOOKUP(A41,I:I,I:I)</f>
        <v/>
      </c>
      <c r="F41" t="str" cm="1">
        <f t="array" ref="F41">SLOOKUP(C41,I:I,I:I,0.75,0)</f>
        <v/>
      </c>
      <c r="G41" t="str" cm="1">
        <f t="array" ref="G41">LLOOKUP(A41,I:I,I:I)</f>
        <v/>
      </c>
      <c r="H41" t="str" cm="1">
        <f t="array" ref="H41">LLOOKUP(C41,I:I,I:I,0.75,0)</f>
        <v/>
      </c>
      <c r="I41" t="s">
        <v>758</v>
      </c>
      <c r="N41" s="3"/>
      <c r="O41" s="3"/>
      <c r="P41" s="3"/>
      <c r="Q41" s="3"/>
    </row>
    <row r="42" spans="1:17" ht="14" customHeight="1">
      <c r="A42" s="6" t="s">
        <v>570</v>
      </c>
      <c r="B42" s="6" t="s">
        <v>571</v>
      </c>
      <c r="C42" t="str">
        <f t="shared" si="1"/>
        <v>Die kahle Sängerin,Eugène Ionesco</v>
      </c>
      <c r="E42" t="str" cm="1">
        <f t="array" ref="E42">SLOOKUP(A42,I:I,I:I)</f>
        <v/>
      </c>
      <c r="F42" t="str" cm="1">
        <f t="array" ref="F42">SLOOKUP(C42,I:I,I:I,0.75,0)</f>
        <v/>
      </c>
      <c r="G42" t="str" cm="1">
        <f t="array" ref="G42">LLOOKUP(A42,I:I,I:I)</f>
        <v/>
      </c>
      <c r="H42" t="str" cm="1">
        <f t="array" ref="H42">LLOOKUP(C42,I:I,I:I,0.75,0)</f>
        <v/>
      </c>
      <c r="I42" t="s">
        <v>735</v>
      </c>
      <c r="N42" s="3"/>
      <c r="O42" s="3"/>
      <c r="P42" s="3"/>
      <c r="Q42" s="3"/>
    </row>
    <row r="43" spans="1:17" ht="14" customHeight="1">
      <c r="A43" s="6" t="s">
        <v>662</v>
      </c>
      <c r="B43" s="6" t="s">
        <v>663</v>
      </c>
      <c r="C43" t="str">
        <f t="shared" si="1"/>
        <v>Die Mars-Chroniken,Ray Bradbury</v>
      </c>
      <c r="E43" t="str" cm="1">
        <f t="array" ref="E43">SLOOKUP(A43,I:I,I:I)</f>
        <v/>
      </c>
      <c r="F43" t="str" cm="1">
        <f t="array" ref="F43">SLOOKUP(C43,I:I,I:I,0.75,0)</f>
        <v/>
      </c>
      <c r="G43" t="str" cm="1">
        <f t="array" ref="G43">LLOOKUP(A43,I:I,I:I)</f>
        <v/>
      </c>
      <c r="H43" t="str" cm="1">
        <f t="array" ref="H43">LLOOKUP(C43,I:I,I:I,0.75,0)</f>
        <v/>
      </c>
      <c r="I43" t="s">
        <v>725</v>
      </c>
      <c r="N43" s="3"/>
      <c r="O43" s="3"/>
      <c r="P43" s="3"/>
      <c r="Q43" s="3"/>
    </row>
    <row r="44" spans="1:17" ht="14" customHeight="1">
      <c r="A44" s="6" t="s">
        <v>654</v>
      </c>
      <c r="B44" s="6" t="s">
        <v>655</v>
      </c>
      <c r="C44" t="str">
        <f t="shared" si="1"/>
        <v>Die Ordnung der Dinge,Michel Foucault</v>
      </c>
      <c r="E44" t="str" cm="1">
        <f t="array" ref="E44">SLOOKUP(A44,I:I,I:I)</f>
        <v/>
      </c>
      <c r="F44" t="str" cm="1">
        <f t="array" ref="F44">SLOOKUP(C44,I:I,I:I,0.75,0)</f>
        <v/>
      </c>
      <c r="G44" t="str" cm="1">
        <f t="array" ref="G44">LLOOKUP(A44,I:I,I:I)</f>
        <v/>
      </c>
      <c r="H44" t="str" cm="1">
        <f t="array" ref="H44">LLOOKUP(C44,I:I,I:I,0.75,0)</f>
        <v/>
      </c>
      <c r="I44" t="s">
        <v>772</v>
      </c>
      <c r="N44" s="3"/>
      <c r="O44" s="3"/>
      <c r="P44" s="3"/>
      <c r="Q44" s="3"/>
    </row>
    <row r="45" spans="1:17" ht="14" customHeight="1">
      <c r="A45" s="6" t="s">
        <v>586</v>
      </c>
      <c r="B45" s="6" t="s">
        <v>587</v>
      </c>
      <c r="C45" t="str">
        <f t="shared" si="1"/>
        <v>Die Schöne des Herrn,Albert Cohen</v>
      </c>
      <c r="E45" t="str" cm="1">
        <f t="array" ref="E45">SLOOKUP(A45,I:I,I:I)</f>
        <v/>
      </c>
      <c r="F45" t="str" cm="1">
        <f t="array" ref="F45">SLOOKUP(C45,I:I,I:I,0.75,0)</f>
        <v/>
      </c>
      <c r="G45" t="str" cm="1">
        <f t="array" ref="G45">LLOOKUP(A45,I:I,I:I)</f>
        <v/>
      </c>
      <c r="H45" t="str" cm="1">
        <f t="array" ref="H45">LLOOKUP(C45,I:I,I:I,0.75,0)</f>
        <v/>
      </c>
      <c r="I45" t="s">
        <v>782</v>
      </c>
      <c r="N45" s="3"/>
      <c r="O45" s="3"/>
      <c r="P45" s="3"/>
      <c r="Q45" s="3"/>
    </row>
    <row r="46" spans="1:17" ht="14" customHeight="1">
      <c r="A46" s="6" t="s">
        <v>574</v>
      </c>
      <c r="B46" s="6" t="s">
        <v>575</v>
      </c>
      <c r="C46" t="str">
        <f t="shared" si="1"/>
        <v>Die schwarze Flamme,Marguerite Yourcenar</v>
      </c>
      <c r="E46" t="str" cm="1">
        <f t="array" ref="E46">SLOOKUP(A46,I:I,I:I)</f>
        <v/>
      </c>
      <c r="F46" t="str" cm="1">
        <f t="array" ref="F46">SLOOKUP(C46,I:I,I:I,0.75,0)</f>
        <v/>
      </c>
      <c r="G46" t="str" cm="1">
        <f t="array" ref="G46">LLOOKUP(A46,I:I,I:I)</f>
        <v/>
      </c>
      <c r="H46" t="str" cm="1">
        <f t="array" ref="H46">LLOOKUP(C46,I:I,I:I,0.75,0)</f>
        <v/>
      </c>
      <c r="I46" t="s">
        <v>793</v>
      </c>
      <c r="N46" s="3"/>
      <c r="O46" s="3"/>
      <c r="P46" s="3"/>
      <c r="Q46" s="3"/>
    </row>
    <row r="47" spans="1:17" ht="14" customHeight="1">
      <c r="A47" s="6" t="s">
        <v>612</v>
      </c>
      <c r="B47" s="6" t="s">
        <v>613</v>
      </c>
      <c r="C47" t="str">
        <f t="shared" si="1"/>
        <v>Die Sonne Satans,Georges Bernanos</v>
      </c>
      <c r="E47" t="str" cm="1">
        <f t="array" ref="E47">SLOOKUP(A47,I:I,I:I)</f>
        <v/>
      </c>
      <c r="F47" t="str" cm="1">
        <f t="array" ref="F47">SLOOKUP(C47,I:I,I:I,0.75,0)</f>
        <v/>
      </c>
      <c r="G47" t="str" cm="1">
        <f t="array" ref="G47">LLOOKUP(A47,I:I,I:I)</f>
        <v/>
      </c>
      <c r="H47" t="str" cm="1">
        <f t="array" ref="H47">LLOOKUP(C47,I:I,I:I,0.75,0)</f>
        <v/>
      </c>
      <c r="I47" t="s">
        <v>728</v>
      </c>
      <c r="N47" s="3"/>
      <c r="O47" s="3"/>
      <c r="P47" s="3"/>
      <c r="Q47" s="3"/>
    </row>
    <row r="48" spans="1:17" ht="14" customHeight="1">
      <c r="A48" s="6" t="s">
        <v>592</v>
      </c>
      <c r="B48" s="6" t="s">
        <v>593</v>
      </c>
      <c r="C48" t="str">
        <f t="shared" si="1"/>
        <v>Die Tat der Thérèse Desqueyroux,François Mauriac</v>
      </c>
      <c r="E48" t="str" cm="1">
        <f t="array" ref="E48">SLOOKUP(A48,I:I,I:I)</f>
        <v/>
      </c>
      <c r="F48" t="str" cm="1">
        <f t="array" ref="F48">SLOOKUP(C48,I:I,I:I,0.75,0)</f>
        <v/>
      </c>
      <c r="G48" t="str" cm="1">
        <f t="array" ref="G48">LLOOKUP(A48,I:I,I:I)</f>
        <v/>
      </c>
      <c r="H48" t="str" cm="1">
        <f t="array" ref="H48">LLOOKUP(C48,I:I,I:I,0.75,0)</f>
        <v/>
      </c>
      <c r="I48" t="s">
        <v>805</v>
      </c>
      <c r="N48" s="3"/>
      <c r="O48" s="3"/>
      <c r="P48" s="3"/>
      <c r="Q48" s="3"/>
    </row>
    <row r="49" spans="1:17" ht="14" customHeight="1">
      <c r="A49" s="6" t="s">
        <v>580</v>
      </c>
      <c r="B49" s="6" t="s">
        <v>581</v>
      </c>
      <c r="C49" t="str">
        <f t="shared" si="1"/>
        <v>Die Tatarenwüste,Dino Buzzati</v>
      </c>
      <c r="E49" t="str" cm="1">
        <f t="array" ref="E49">SLOOKUP(A49,I:I,I:I)</f>
        <v/>
      </c>
      <c r="F49" t="str" cm="1">
        <f t="array" ref="F49">SLOOKUP(C49,I:I,I:I,0.75,0)</f>
        <v/>
      </c>
      <c r="G49" t="str" cm="1">
        <f t="array" ref="G49">LLOOKUP(A49,I:I,I:I)</f>
        <v/>
      </c>
      <c r="H49" t="str" cm="1">
        <f t="array" ref="H49">LLOOKUP(C49,I:I,I:I,0.75,0)</f>
        <v/>
      </c>
      <c r="I49" t="s">
        <v>820</v>
      </c>
      <c r="N49" s="3"/>
      <c r="O49" s="3"/>
      <c r="P49" s="3"/>
      <c r="Q49" s="3"/>
    </row>
    <row r="50" spans="1:17" ht="14" customHeight="1">
      <c r="A50" s="6" t="s">
        <v>618</v>
      </c>
      <c r="B50" s="6" t="s">
        <v>619</v>
      </c>
      <c r="C50" t="str">
        <f t="shared" si="1"/>
        <v>Die Verachtung,Alberto Moravia</v>
      </c>
      <c r="E50" t="str" cm="1">
        <f t="array" ref="E50">SLOOKUP(A50,I:I,I:I)</f>
        <v/>
      </c>
      <c r="F50" t="str" cm="1">
        <f t="array" ref="F50">SLOOKUP(C50,I:I,I:I,0.75,0)</f>
        <v/>
      </c>
      <c r="G50" t="str" cm="1">
        <f t="array" ref="G50">LLOOKUP(A50,I:I,I:I)</f>
        <v/>
      </c>
      <c r="H50" t="str" cm="1">
        <f t="array" ref="H50">LLOOKUP(C50,I:I,I:I,0.75,0)</f>
        <v/>
      </c>
      <c r="I50" t="s">
        <v>785</v>
      </c>
      <c r="N50" s="3"/>
      <c r="O50" s="3"/>
      <c r="P50" s="3"/>
      <c r="Q50" s="3"/>
    </row>
    <row r="51" spans="1:17" ht="14" customHeight="1">
      <c r="A51" s="6" t="s">
        <v>650</v>
      </c>
      <c r="B51" s="6" t="s">
        <v>651</v>
      </c>
      <c r="C51" t="str">
        <f t="shared" si="1"/>
        <v>Die verlorene Ehre der Katharina Blum,Heinrich Böll</v>
      </c>
      <c r="E51" t="str" cm="1">
        <f t="array" ref="E51">SLOOKUP(A51,I:I,I:I)</f>
        <v/>
      </c>
      <c r="F51" t="str" cm="1">
        <f t="array" ref="F51">SLOOKUP(C51,I:I,I:I,0.75,0)</f>
        <v/>
      </c>
      <c r="G51" t="str" cm="1">
        <f t="array" ref="G51">LLOOKUP(A51,I:I,I:I)</f>
        <v/>
      </c>
      <c r="H51" t="str" cm="1">
        <f t="array" ref="H51">LLOOKUP(C51,I:I,I:I,0.75,0)</f>
        <v/>
      </c>
      <c r="I51" t="s">
        <v>764</v>
      </c>
      <c r="N51" s="3"/>
      <c r="O51" s="3"/>
      <c r="P51" s="3"/>
      <c r="Q51" s="3"/>
    </row>
    <row r="52" spans="1:17" ht="14" customHeight="1">
      <c r="A52" s="6" t="s">
        <v>664</v>
      </c>
      <c r="B52" s="6" t="s">
        <v>665</v>
      </c>
      <c r="C52" t="str">
        <f t="shared" si="1"/>
        <v>Die Verzückung der Lol V. Stein,Marguerite Duras</v>
      </c>
      <c r="E52" t="str" cm="1">
        <f t="array" ref="E52">SLOOKUP(A52,I:I,I:I)</f>
        <v/>
      </c>
      <c r="F52" t="str" cm="1">
        <f t="array" ref="F52">SLOOKUP(C52,I:I,I:I,0.75,0)</f>
        <v/>
      </c>
      <c r="G52" t="str" cm="1">
        <f t="array" ref="G52">LLOOKUP(A52,I:I,I:I)</f>
        <v/>
      </c>
      <c r="H52" t="str" cm="1">
        <f t="array" ref="H52">LLOOKUP(C52,I:I,I:I,0.75,0)</f>
        <v/>
      </c>
      <c r="I52" t="s">
        <v>814</v>
      </c>
      <c r="N52" s="3"/>
      <c r="O52" s="3"/>
      <c r="P52" s="3"/>
      <c r="Q52" s="3"/>
    </row>
    <row r="53" spans="1:17" ht="14" customHeight="1">
      <c r="A53" s="6" t="s">
        <v>658</v>
      </c>
      <c r="B53" s="6" t="s">
        <v>659</v>
      </c>
      <c r="C53" t="str">
        <f t="shared" si="1"/>
        <v>Die wunderbare Reise des kleinen Nils Holgersson,Selma Lagerlöf</v>
      </c>
      <c r="E53" t="str" cm="1">
        <f t="array" ref="E53">SLOOKUP(A53,I:I,I:I)</f>
        <v/>
      </c>
      <c r="F53" t="str" cm="1">
        <f t="array" ref="F53">SLOOKUP(C53,I:I,I:I,0.75,0)</f>
        <v/>
      </c>
      <c r="G53" t="str" cm="1">
        <f t="array" ref="G53">LLOOKUP(A53,I:I,I:I)</f>
        <v/>
      </c>
      <c r="H53" t="str" cm="1">
        <f t="array" ref="H53">LLOOKUP(C53,I:I,I:I,0.75,0)</f>
        <v/>
      </c>
      <c r="I53" t="s">
        <v>819</v>
      </c>
      <c r="N53" s="3"/>
      <c r="O53" s="3"/>
      <c r="P53" s="3"/>
      <c r="Q53" s="3"/>
    </row>
    <row r="54" spans="1:17" ht="14" customHeight="1">
      <c r="A54" s="6" t="s">
        <v>572</v>
      </c>
      <c r="B54" s="6" t="s">
        <v>573</v>
      </c>
      <c r="C54" t="str">
        <f t="shared" si="1"/>
        <v>Drei Abhandlungen zur Sexualtheorie,Sigmund Freud</v>
      </c>
      <c r="E54" t="str" cm="1">
        <f t="array" ref="E54">SLOOKUP(A54,I:I,I:I)</f>
        <v/>
      </c>
      <c r="F54" t="str" cm="1">
        <f t="array" ref="F54">SLOOKUP(C54,I:I,I:I,0.75,0)</f>
        <v/>
      </c>
      <c r="G54" t="str" cm="1">
        <f t="array" ref="G54">LLOOKUP(A54,I:I,I:I)</f>
        <v/>
      </c>
      <c r="H54" t="str" cm="1">
        <f t="array" ref="H54">LLOOKUP(C54,I:I,I:I,0.75,0)</f>
        <v/>
      </c>
      <c r="I54" t="s">
        <v>801</v>
      </c>
      <c r="N54" s="3"/>
      <c r="O54" s="3"/>
      <c r="P54" s="3"/>
      <c r="Q54" s="3"/>
    </row>
    <row r="55" spans="1:17" ht="14" customHeight="1">
      <c r="A55" s="6" t="s">
        <v>660</v>
      </c>
      <c r="B55" s="6" t="s">
        <v>661</v>
      </c>
      <c r="C55" t="str">
        <f t="shared" si="1"/>
        <v>Ein Zimmer für sich allein,Virginia Woolf</v>
      </c>
      <c r="E55" t="str" cm="1">
        <f t="array" ref="E55">SLOOKUP(A55,I:I,I:I)</f>
        <v/>
      </c>
      <c r="F55" t="str" cm="1">
        <f t="array" ref="F55">SLOOKUP(C55,I:I,I:I,0.75,0)</f>
        <v/>
      </c>
      <c r="G55" t="str" cm="1">
        <f t="array" ref="G55">LLOOKUP(A55,I:I,I:I)</f>
        <v/>
      </c>
      <c r="H55" t="str" cm="1">
        <f t="array" ref="H55">LLOOKUP(C55,I:I,I:I,0.75,0)</f>
        <v/>
      </c>
      <c r="I55" t="s">
        <v>807</v>
      </c>
      <c r="N55" s="3"/>
      <c r="O55" s="3"/>
      <c r="P55" s="3"/>
      <c r="Q55" s="3"/>
    </row>
    <row r="56" spans="1:17" ht="14" customHeight="1">
      <c r="A56" s="6" t="s">
        <v>708</v>
      </c>
      <c r="B56" s="6" t="s">
        <v>709</v>
      </c>
      <c r="C56" t="str">
        <f t="shared" si="1"/>
        <v>Elemente und Ursprünge totaler Herrschaft,Hannah Arendt</v>
      </c>
      <c r="E56" t="str" cm="1">
        <f t="array" ref="E56">SLOOKUP(A56,I:I,I:I)</f>
        <v/>
      </c>
      <c r="F56" t="str" cm="1">
        <f t="array" ref="F56">SLOOKUP(C56,I:I,I:I,0.75,0)</f>
        <v/>
      </c>
      <c r="G56" t="str" cm="1">
        <f t="array" ref="G56">LLOOKUP(A56,I:I,I:I)</f>
        <v/>
      </c>
      <c r="H56" t="str" cm="1">
        <f t="array" ref="H56">LLOOKUP(C56,I:I,I:I,0.75,0)</f>
        <v/>
      </c>
      <c r="I56" t="s">
        <v>733</v>
      </c>
      <c r="N56" s="3"/>
      <c r="O56" s="3"/>
      <c r="P56" s="3"/>
      <c r="Q56" s="3"/>
    </row>
    <row r="57" spans="1:17" ht="14" customHeight="1">
      <c r="A57" s="6" t="s">
        <v>680</v>
      </c>
      <c r="B57" s="6" t="s">
        <v>681</v>
      </c>
      <c r="C57" t="str">
        <f t="shared" si="1"/>
        <v>Fiktionen,Jorge Luis Borges</v>
      </c>
      <c r="E57" t="str" cm="1">
        <f t="array" ref="E57">SLOOKUP(A57,I:I,I:I)</f>
        <v/>
      </c>
      <c r="F57" t="str" cm="1">
        <f t="array" ref="F57">SLOOKUP(C57,I:I,I:I,0.75,0)</f>
        <v/>
      </c>
      <c r="G57" t="str" cm="1">
        <f t="array" ref="G57">LLOOKUP(A57,I:I,I:I)</f>
        <v/>
      </c>
      <c r="H57" t="str" cm="1">
        <f t="array" ref="H57">LLOOKUP(C57,I:I,I:I,0.75,0)</f>
        <v/>
      </c>
      <c r="I57" t="s">
        <v>736</v>
      </c>
      <c r="N57" s="3"/>
      <c r="O57" s="3"/>
      <c r="P57" s="3"/>
      <c r="Q57" s="3"/>
    </row>
    <row r="58" spans="1:17" ht="14" customHeight="1">
      <c r="A58" s="6" t="s">
        <v>632</v>
      </c>
      <c r="B58" s="6" t="s">
        <v>633</v>
      </c>
      <c r="C58" t="str">
        <f t="shared" si="1"/>
        <v>Freitag oder Im Schoss des Pazifik,Michel Tournier</v>
      </c>
      <c r="E58" t="str" cm="1">
        <f t="array" ref="E58">SLOOKUP(A58,I:I,I:I)</f>
        <v/>
      </c>
      <c r="F58" t="str" cm="1">
        <f t="array" ref="F58">SLOOKUP(C58,I:I,I:I,0.75,0)</f>
        <v/>
      </c>
      <c r="G58" t="str" cm="1">
        <f t="array" ref="G58">LLOOKUP(A58,I:I,I:I)</f>
        <v/>
      </c>
      <c r="H58" t="str" cm="1">
        <f t="array" ref="H58">LLOOKUP(C58,I:I,I:I,0.75,0)</f>
        <v/>
      </c>
      <c r="I58" t="s">
        <v>804</v>
      </c>
      <c r="N58" s="3"/>
      <c r="O58" s="3"/>
      <c r="P58" s="3"/>
      <c r="Q58" s="3"/>
    </row>
    <row r="59" spans="1:17" ht="14" customHeight="1">
      <c r="A59" s="6" t="s">
        <v>538</v>
      </c>
      <c r="B59" s="6" t="s">
        <v>539</v>
      </c>
      <c r="C59" t="str">
        <f t="shared" si="1"/>
        <v>Früchte des Zorns,John Steinbeck</v>
      </c>
      <c r="E59" t="str" cm="1">
        <f t="array" ref="E59">SLOOKUP(A59,I:I,I:I)</f>
        <v/>
      </c>
      <c r="F59" t="str" cm="1">
        <f t="array" ref="F59">SLOOKUP(C59,I:I,I:I,0.75,0)</f>
        <v/>
      </c>
      <c r="G59" t="str" cm="1">
        <f t="array" ref="G59">LLOOKUP(A59,I:I,I:I)</f>
        <v/>
      </c>
      <c r="H59" t="str" cm="1">
        <f t="array" ref="H59">LLOOKUP(C59,I:I,I:I,0.75,0)</f>
        <v/>
      </c>
      <c r="I59" t="s">
        <v>767</v>
      </c>
      <c r="N59" s="3"/>
      <c r="O59" s="3"/>
      <c r="P59" s="3"/>
      <c r="Q59" s="3"/>
    </row>
    <row r="60" spans="1:17" ht="14" customHeight="1">
      <c r="A60" s="6" t="s">
        <v>696</v>
      </c>
      <c r="B60" s="6" t="s">
        <v>697</v>
      </c>
      <c r="C60" t="str">
        <f t="shared" si="1"/>
        <v>Fureur et mystère,René Char</v>
      </c>
      <c r="E60" t="str" cm="1">
        <f t="array" ref="E60">SLOOKUP(A60,I:I,I:I)</f>
        <v/>
      </c>
      <c r="F60" t="str" cm="1">
        <f t="array" ref="F60">SLOOKUP(C60,I:I,I:I,0.75,0)</f>
        <v/>
      </c>
      <c r="G60" t="str" cm="1">
        <f t="array" ref="G60">LLOOKUP(A60,I:I,I:I)</f>
        <v/>
      </c>
      <c r="H60" t="str" cm="1">
        <f t="array" ref="H60">LLOOKUP(C60,I:I,I:I,0.75,0)</f>
        <v/>
      </c>
      <c r="I60" t="s">
        <v>797</v>
      </c>
      <c r="N60" s="3"/>
      <c r="O60" s="3"/>
      <c r="P60" s="3"/>
      <c r="Q60" s="3"/>
    </row>
    <row r="61" spans="1:17" ht="14" customHeight="1">
      <c r="A61" s="6" t="s">
        <v>717</v>
      </c>
      <c r="B61" s="6" t="s">
        <v>718</v>
      </c>
      <c r="C61" t="str">
        <f t="shared" si="1"/>
        <v>Gaston,André Franquin</v>
      </c>
      <c r="E61" t="str" cm="1">
        <f t="array" ref="E61">SLOOKUP(A61,I:I,I:I)</f>
        <v/>
      </c>
      <c r="F61" t="str" cm="1">
        <f t="array" ref="F61">SLOOKUP(C61,I:I,I:I,0.75,0)</f>
        <v/>
      </c>
      <c r="G61" t="str" cm="1">
        <f t="array" ref="G61">LLOOKUP(A61,I:I,I:I)</f>
        <v/>
      </c>
      <c r="H61" t="str" cm="1">
        <f t="array" ref="H61">LLOOKUP(C61,I:I,I:I,0.75,0)</f>
        <v/>
      </c>
      <c r="I61" t="s">
        <v>761</v>
      </c>
      <c r="N61" s="3"/>
      <c r="O61" s="3"/>
      <c r="P61" s="3"/>
      <c r="Q61" s="3"/>
    </row>
    <row r="62" spans="1:17" ht="14" customHeight="1">
      <c r="A62" s="6" t="s">
        <v>642</v>
      </c>
      <c r="B62" s="6" t="s">
        <v>643</v>
      </c>
      <c r="C62" t="str">
        <f t="shared" si="1"/>
        <v>Hauptstadt der Schmerzen,Paul Éluard</v>
      </c>
      <c r="E62" t="str" cm="1">
        <f t="array" ref="E62">SLOOKUP(A62,I:I,I:I)</f>
        <v/>
      </c>
      <c r="F62" t="str" cm="1">
        <f t="array" ref="F62">SLOOKUP(C62,I:I,I:I,0.75,0)</f>
        <v/>
      </c>
      <c r="G62" t="str" cm="1">
        <f t="array" ref="G62">LLOOKUP(A62,I:I,I:I)</f>
        <v/>
      </c>
      <c r="H62" t="str" cm="1">
        <f t="array" ref="H62">LLOOKUP(C62,I:I,I:I,0.75,0)</f>
        <v/>
      </c>
      <c r="I62" t="s">
        <v>754</v>
      </c>
      <c r="N62" s="3"/>
      <c r="O62" s="3"/>
      <c r="P62" s="3"/>
      <c r="Q62" s="3"/>
    </row>
    <row r="63" spans="1:17" ht="14" customHeight="1">
      <c r="A63" s="6" t="s">
        <v>588</v>
      </c>
      <c r="B63" s="6" t="s">
        <v>589</v>
      </c>
      <c r="C63" t="str">
        <f t="shared" si="1"/>
        <v>Hundert Jahre Einsamkeit,Gabriel García Márquez</v>
      </c>
      <c r="E63" t="str" cm="1">
        <f t="array" ref="E63">SLOOKUP(A63,I:I,I:I)</f>
        <v>Hundert Jahre Einsamkeit, Gabriel García Márquez</v>
      </c>
      <c r="F63" t="str" cm="1">
        <f t="array" ref="F63">SLOOKUP(C63,I:I,I:I,0.75,0)</f>
        <v>Hundert Jahre Einsamkeit, Gabriel García Márquez</v>
      </c>
      <c r="G63" t="str" cm="1">
        <f t="array" ref="G63">LLOOKUP(A63,I:I,I:I)</f>
        <v>Hundert Jahre Einsamkeit, Gabriel García Márquez</v>
      </c>
      <c r="H63" t="str" cm="1">
        <f t="array" ref="H63">LLOOKUP(C63,I:I,I:I,0.75,0)</f>
        <v>Hundert Jahre Einsamkeit, Gabriel García Márquez</v>
      </c>
      <c r="I63" t="s">
        <v>812</v>
      </c>
      <c r="N63" s="3"/>
      <c r="O63" s="3"/>
      <c r="P63" s="3"/>
      <c r="Q63" s="3"/>
    </row>
    <row r="64" spans="1:17" ht="14" customHeight="1">
      <c r="A64" s="6" t="s">
        <v>636</v>
      </c>
      <c r="B64" s="6" t="s">
        <v>637</v>
      </c>
      <c r="C64" t="str">
        <f t="shared" si="1"/>
        <v>Ist das ein Mensch?,Primo Levi</v>
      </c>
      <c r="E64" t="str" cm="1">
        <f t="array" ref="E64">SLOOKUP(A64,I:I,I:I)</f>
        <v/>
      </c>
      <c r="F64" t="str" cm="1">
        <f t="array" ref="F64">SLOOKUP(C64,I:I,I:I,0.75,0)</f>
        <v/>
      </c>
      <c r="G64" t="str" cm="1">
        <f t="array" ref="G64">LLOOKUP(A64,I:I,I:I)</f>
        <v/>
      </c>
      <c r="H64" t="str" cm="1">
        <f t="array" ref="H64">LLOOKUP(C64,I:I,I:I,0.75,0)</f>
        <v/>
      </c>
      <c r="I64" t="s">
        <v>822</v>
      </c>
      <c r="N64" s="3"/>
      <c r="O64" s="3"/>
      <c r="P64" s="3"/>
      <c r="Q64" s="3"/>
    </row>
    <row r="65" spans="1:17" ht="14" customHeight="1">
      <c r="A65" s="6" t="s">
        <v>700</v>
      </c>
      <c r="B65" s="6" t="s">
        <v>701</v>
      </c>
      <c r="C65" t="str">
        <f t="shared" si="1"/>
        <v>Keine Orchideen für Mrs. Blandish,James Hadley Chase</v>
      </c>
      <c r="E65" t="str" cm="1">
        <f t="array" ref="E65">SLOOKUP(A65,I:I,I:I)</f>
        <v/>
      </c>
      <c r="F65" t="str" cm="1">
        <f t="array" ref="F65">SLOOKUP(C65,I:I,I:I,0.75,0)</f>
        <v/>
      </c>
      <c r="G65" t="str" cm="1">
        <f t="array" ref="G65">LLOOKUP(A65,I:I,I:I)</f>
        <v/>
      </c>
      <c r="H65" t="str" cm="1">
        <f t="array" ref="H65">LLOOKUP(C65,I:I,I:I,0.75,0)</f>
        <v/>
      </c>
      <c r="I65" t="s">
        <v>813</v>
      </c>
      <c r="N65" s="3"/>
      <c r="O65" s="3"/>
      <c r="P65" s="3"/>
      <c r="Q65" s="3"/>
    </row>
    <row r="66" spans="1:17" ht="14" customHeight="1">
      <c r="A66" s="6" t="s">
        <v>600</v>
      </c>
      <c r="B66" s="6" t="s">
        <v>601</v>
      </c>
      <c r="C66" t="str">
        <f t="shared" ref="C66:C97" si="2">A66&amp;","&amp;B66</f>
        <v>Lady Chatterleys Liebhaber,D. H. Lawrence</v>
      </c>
      <c r="E66" t="str" cm="1">
        <f t="array" ref="E66">SLOOKUP(A66,I:I,I:I)</f>
        <v/>
      </c>
      <c r="F66" t="str" cm="1">
        <f t="array" ref="F66">SLOOKUP(C66,I:I,I:I,0.75,0)</f>
        <v/>
      </c>
      <c r="G66" t="str" cm="1">
        <f t="array" ref="G66">LLOOKUP(A66,I:I,I:I)</f>
        <v/>
      </c>
      <c r="H66" t="str" cm="1">
        <f t="array" ref="H66">LLOOKUP(C66,I:I,I:I,0.75,0)</f>
        <v/>
      </c>
      <c r="I66" t="s">
        <v>816</v>
      </c>
      <c r="N66" s="3"/>
      <c r="O66" s="3"/>
      <c r="P66" s="3"/>
      <c r="Q66" s="3"/>
    </row>
    <row r="67" spans="1:17" ht="14" customHeight="1">
      <c r="A67" s="6" t="s">
        <v>640</v>
      </c>
      <c r="B67" s="6" t="s">
        <v>641</v>
      </c>
      <c r="C67" t="str">
        <f t="shared" si="2"/>
        <v>Les Vrilles de la vigne,Sidonie-Gabrielle Colette</v>
      </c>
      <c r="E67" t="str" cm="1">
        <f t="array" ref="E67">SLOOKUP(A67,I:I,I:I)</f>
        <v/>
      </c>
      <c r="F67" t="str" cm="1">
        <f t="array" ref="F67">SLOOKUP(C67,I:I,I:I,0.75,0)</f>
        <v/>
      </c>
      <c r="G67" t="str" cm="1">
        <f t="array" ref="G67">LLOOKUP(A67,I:I,I:I)</f>
        <v/>
      </c>
      <c r="H67" t="str" cm="1">
        <f t="array" ref="H67">LLOOKUP(C67,I:I,I:I,0.75,0)</f>
        <v/>
      </c>
      <c r="I67" t="s">
        <v>783</v>
      </c>
      <c r="N67" s="3"/>
      <c r="O67" s="3"/>
      <c r="P67" s="3"/>
      <c r="Q67" s="3"/>
    </row>
    <row r="68" spans="1:17" ht="14" customHeight="1">
      <c r="A68" s="6" t="s">
        <v>576</v>
      </c>
      <c r="B68" s="6" t="s">
        <v>577</v>
      </c>
      <c r="C68" t="str">
        <f t="shared" si="2"/>
        <v>Lolita,Vladimir Nabokov</v>
      </c>
      <c r="E68" t="str" cm="1">
        <f t="array" ref="E68">SLOOKUP(A68,I:I,I:I)</f>
        <v>Lolita, Vladimir Nabokov</v>
      </c>
      <c r="F68" t="str" cm="1">
        <f t="array" ref="F68">SLOOKUP(C68,I:I,I:I,0.75,0)</f>
        <v>Lolita, Vladimir Nabokov</v>
      </c>
      <c r="G68" t="str" cm="1">
        <f t="array" ref="G68">LLOOKUP(A68,I:I,I:I)</f>
        <v>Lolita, Vladimir Nabokov</v>
      </c>
      <c r="H68" t="str" cm="1">
        <f t="array" ref="H68">LLOOKUP(C68,I:I,I:I,0.75,0)</f>
        <v>Lolita, Vladimir Nabokov</v>
      </c>
      <c r="I68" t="s">
        <v>796</v>
      </c>
      <c r="N68" s="3"/>
      <c r="O68" s="3"/>
      <c r="P68" s="3"/>
      <c r="Q68" s="3"/>
    </row>
    <row r="69" spans="1:17" ht="14" customHeight="1">
      <c r="A69" s="6" t="s">
        <v>672</v>
      </c>
      <c r="B69" s="6" t="s">
        <v>673</v>
      </c>
      <c r="C69" t="str">
        <f t="shared" si="2"/>
        <v>Lord Jim,Joseph Conrad</v>
      </c>
      <c r="E69" t="str" cm="1">
        <f t="array" ref="E69">SLOOKUP(A69,I:I,I:I)</f>
        <v/>
      </c>
      <c r="F69" t="str" cm="1">
        <f t="array" ref="F69">SLOOKUP(C69,I:I,I:I,0.75,0)</f>
        <v/>
      </c>
      <c r="G69" t="str" cm="1">
        <f t="array" ref="G69">LLOOKUP(A69,I:I,I:I)</f>
        <v/>
      </c>
      <c r="H69" t="str" cm="1">
        <f t="array" ref="H69">LLOOKUP(C69,I:I,I:I,0.75,0)</f>
        <v/>
      </c>
      <c r="I69" t="s">
        <v>821</v>
      </c>
      <c r="N69" s="3"/>
      <c r="O69" s="3"/>
      <c r="P69" s="3"/>
      <c r="Q69" s="3"/>
    </row>
    <row r="70" spans="1:17" ht="14" customHeight="1">
      <c r="A70" s="6" t="s">
        <v>690</v>
      </c>
      <c r="B70" s="6" t="s">
        <v>691</v>
      </c>
      <c r="C70" t="str">
        <f t="shared" si="2"/>
        <v>Maigret und Pietr der Lette,Georges Simenon</v>
      </c>
      <c r="E70" t="str" cm="1">
        <f t="array" ref="E70">SLOOKUP(A70,I:I,I:I)</f>
        <v/>
      </c>
      <c r="F70" t="str" cm="1">
        <f t="array" ref="F70">SLOOKUP(C70,I:I,I:I,0.75,0)</f>
        <v/>
      </c>
      <c r="G70" t="str" cm="1">
        <f t="array" ref="G70">LLOOKUP(A70,I:I,I:I)</f>
        <v/>
      </c>
      <c r="H70" t="str" cm="1">
        <f t="array" ref="H70">LLOOKUP(C70,I:I,I:I,0.75,0)</f>
        <v/>
      </c>
      <c r="I70" t="s">
        <v>777</v>
      </c>
      <c r="N70" s="3"/>
      <c r="O70" s="3"/>
      <c r="P70" s="3"/>
      <c r="Q70" s="3"/>
    </row>
    <row r="71" spans="1:17" ht="14" customHeight="1">
      <c r="A71" s="6" t="s">
        <v>678</v>
      </c>
      <c r="B71" s="6" t="s">
        <v>679</v>
      </c>
      <c r="C71" t="str">
        <f t="shared" si="2"/>
        <v>Manhattan Transfer,John Dos Passos</v>
      </c>
      <c r="E71" t="str" cm="1">
        <f t="array" ref="E71">SLOOKUP(A71,I:I,I:I)</f>
        <v/>
      </c>
      <c r="F71" t="str" cm="1">
        <f t="array" ref="F71">SLOOKUP(C71,I:I,I:I,0.75,0)</f>
        <v/>
      </c>
      <c r="G71" t="str" cm="1">
        <f t="array" ref="G71">LLOOKUP(A71,I:I,I:I)</f>
        <v/>
      </c>
      <c r="H71" t="str" cm="1">
        <f t="array" ref="H71">LLOOKUP(C71,I:I,I:I,0.75,0)</f>
        <v/>
      </c>
      <c r="I71" t="s">
        <v>781</v>
      </c>
      <c r="N71" s="3"/>
      <c r="O71" s="3"/>
      <c r="P71" s="3"/>
      <c r="Q71" s="3"/>
    </row>
    <row r="72" spans="1:17" ht="14" customHeight="1">
      <c r="A72" s="6" t="s">
        <v>644</v>
      </c>
      <c r="B72" s="6" t="s">
        <v>645</v>
      </c>
      <c r="C72" t="str">
        <f t="shared" si="2"/>
        <v>Martin Eden,Jack London</v>
      </c>
      <c r="E72" t="str" cm="1">
        <f t="array" ref="E72">SLOOKUP(A72,I:I,I:I)</f>
        <v/>
      </c>
      <c r="F72" t="str" cm="1">
        <f t="array" ref="F72">SLOOKUP(C72,I:I,I:I,0.75,0)</f>
        <v/>
      </c>
      <c r="G72" t="str" cm="1">
        <f t="array" ref="G72">LLOOKUP(A72,I:I,I:I)</f>
        <v/>
      </c>
      <c r="H72" t="str" cm="1">
        <f t="array" ref="H72">LLOOKUP(C72,I:I,I:I,0.75,0)</f>
        <v/>
      </c>
      <c r="I72" t="s">
        <v>789</v>
      </c>
      <c r="N72" s="3"/>
      <c r="O72" s="3"/>
      <c r="P72" s="3"/>
      <c r="Q72" s="3"/>
    </row>
    <row r="73" spans="1:17" ht="14" customHeight="1">
      <c r="A73" s="6" t="s">
        <v>721</v>
      </c>
      <c r="B73" s="6" t="s">
        <v>722</v>
      </c>
      <c r="C73" t="str">
        <f t="shared" si="2"/>
        <v>Mitternachtskinder,Salman Rushdie</v>
      </c>
      <c r="E73" t="str" cm="1">
        <f t="array" ref="E73">SLOOKUP(A73,I:I,I:I)</f>
        <v/>
      </c>
      <c r="F73" t="str" cm="1">
        <f t="array" ref="F73">SLOOKUP(C73,I:I,I:I,0.75,0)</f>
        <v/>
      </c>
      <c r="G73" t="str" cm="1">
        <f t="array" ref="G73">LLOOKUP(A73,I:I,I:I)</f>
        <v/>
      </c>
      <c r="H73" t="str" cm="1">
        <f t="array" ref="H73">LLOOKUP(C73,I:I,I:I,0.75,0)</f>
        <v/>
      </c>
      <c r="I73" t="s">
        <v>748</v>
      </c>
      <c r="N73" s="3"/>
      <c r="O73" s="3"/>
      <c r="P73" s="3"/>
      <c r="Q73" s="3"/>
    </row>
    <row r="74" spans="1:17" ht="14" customHeight="1">
      <c r="A74" s="6" t="s">
        <v>682</v>
      </c>
      <c r="B74" s="6" t="s">
        <v>683</v>
      </c>
      <c r="C74" t="str">
        <f t="shared" si="2"/>
        <v>Moloch. Das Leben des Moravagine,Blaise Cendrars</v>
      </c>
      <c r="E74" t="str" cm="1">
        <f t="array" ref="E74">SLOOKUP(A74,I:I,I:I)</f>
        <v/>
      </c>
      <c r="F74" t="str" cm="1">
        <f t="array" ref="F74">SLOOKUP(C74,I:I,I:I,0.75,0)</f>
        <v/>
      </c>
      <c r="G74" t="str" cm="1">
        <f t="array" ref="G74">LLOOKUP(A74,I:I,I:I)</f>
        <v/>
      </c>
      <c r="H74" t="str" cm="1">
        <f t="array" ref="H74">LLOOKUP(C74,I:I,I:I,0.75,0)</f>
        <v/>
      </c>
      <c r="I74" t="s">
        <v>791</v>
      </c>
      <c r="N74" s="3"/>
      <c r="O74" s="3"/>
      <c r="P74" s="3"/>
      <c r="Q74" s="3"/>
    </row>
    <row r="75" spans="1:17" ht="14" customHeight="1">
      <c r="A75" s="6" t="s">
        <v>622</v>
      </c>
      <c r="B75" s="6" t="s">
        <v>623</v>
      </c>
      <c r="C75" t="str">
        <f t="shared" si="2"/>
        <v>Nadja,André Breton</v>
      </c>
      <c r="E75" t="str" cm="1">
        <f t="array" ref="E75">SLOOKUP(A75,I:I,I:I)</f>
        <v/>
      </c>
      <c r="F75" t="str" cm="1">
        <f t="array" ref="F75">SLOOKUP(C75,I:I,I:I,0.75,0)</f>
        <v/>
      </c>
      <c r="G75" t="str" cm="1">
        <f t="array" ref="G75">LLOOKUP(A75,I:I,I:I)</f>
        <v/>
      </c>
      <c r="H75" t="str" cm="1">
        <f t="array" ref="H75">LLOOKUP(C75,I:I,I:I,0.75,0)</f>
        <v/>
      </c>
      <c r="I75" t="s">
        <v>779</v>
      </c>
      <c r="N75" s="3"/>
      <c r="O75" s="3"/>
      <c r="P75" s="3"/>
      <c r="Q75" s="3"/>
    </row>
    <row r="76" spans="1:17" ht="14" customHeight="1">
      <c r="A76" s="6" t="s">
        <v>692</v>
      </c>
      <c r="B76" s="6" t="s">
        <v>693</v>
      </c>
      <c r="C76" t="str">
        <f t="shared" si="2"/>
        <v>Notre-Dame-des-Fleurs,Jean Genet</v>
      </c>
      <c r="E76" t="str" cm="1">
        <f t="array" ref="E76">SLOOKUP(A76,I:I,I:I)</f>
        <v/>
      </c>
      <c r="F76" t="str" cm="1">
        <f t="array" ref="F76">SLOOKUP(C76,I:I,I:I,0.75,0)</f>
        <v/>
      </c>
      <c r="G76" t="str" cm="1">
        <f t="array" ref="G76">LLOOKUP(A76,I:I,I:I)</f>
        <v/>
      </c>
      <c r="H76" t="str" cm="1">
        <f t="array" ref="H76">LLOOKUP(C76,I:I,I:I,0.75,0)</f>
        <v/>
      </c>
      <c r="I76" t="s">
        <v>741</v>
      </c>
      <c r="N76" s="3"/>
      <c r="O76" s="3"/>
      <c r="P76" s="3"/>
      <c r="Q76" s="3"/>
    </row>
    <row r="77" spans="1:17" ht="14" customHeight="1">
      <c r="A77" s="6" t="s">
        <v>706</v>
      </c>
      <c r="B77" s="6" t="s">
        <v>707</v>
      </c>
      <c r="C77" t="str">
        <f t="shared" si="2"/>
        <v>Paris-Rom oder Die Modifikation,Michel Butor</v>
      </c>
      <c r="E77" t="str" cm="1">
        <f t="array" ref="E77">SLOOKUP(A77,I:I,I:I)</f>
        <v/>
      </c>
      <c r="F77" t="str" cm="1">
        <f t="array" ref="F77">SLOOKUP(C77,I:I,I:I,0.75,0)</f>
        <v/>
      </c>
      <c r="G77" t="str" cm="1">
        <f t="array" ref="G77">LLOOKUP(A77,I:I,I:I)</f>
        <v/>
      </c>
      <c r="H77" t="str" cm="1">
        <f t="array" ref="H77">LLOOKUP(C77,I:I,I:I,0.75,0)</f>
        <v/>
      </c>
      <c r="I77" t="s">
        <v>759</v>
      </c>
      <c r="N77" s="3"/>
      <c r="O77" s="3"/>
      <c r="P77" s="3"/>
      <c r="Q77" s="3"/>
    </row>
    <row r="78" spans="1:17" ht="14" customHeight="1">
      <c r="A78" s="6" t="s">
        <v>556</v>
      </c>
      <c r="B78" s="6" t="s">
        <v>557</v>
      </c>
      <c r="C78" t="str">
        <f t="shared" si="2"/>
        <v>Paroles,Jacques Prévert</v>
      </c>
      <c r="E78" t="str" cm="1">
        <f t="array" ref="E78">SLOOKUP(A78,I:I,I:I)</f>
        <v/>
      </c>
      <c r="F78" t="str" cm="1">
        <f t="array" ref="F78">SLOOKUP(C78,I:I,I:I,0.75,0)</f>
        <v/>
      </c>
      <c r="G78" t="str" cm="1">
        <f t="array" ref="G78">LLOOKUP(A78,I:I,I:I)</f>
        <v/>
      </c>
      <c r="H78" t="str" cm="1">
        <f t="array" ref="H78">LLOOKUP(C78,I:I,I:I,0.75,0)</f>
        <v/>
      </c>
      <c r="I78" t="s">
        <v>740</v>
      </c>
      <c r="N78" s="3"/>
      <c r="O78" s="3"/>
      <c r="P78" s="3"/>
      <c r="Q78" s="3"/>
    </row>
    <row r="79" spans="1:17" ht="14" customHeight="1">
      <c r="A79" s="6" t="s">
        <v>536</v>
      </c>
      <c r="B79" s="6" t="s">
        <v>537</v>
      </c>
      <c r="C79" t="str">
        <f t="shared" si="2"/>
        <v>Reise ans Ende der Nacht,Louis-Ferdinand Céline</v>
      </c>
      <c r="E79" t="str" cm="1">
        <f t="array" ref="E79">SLOOKUP(A79,I:I,I:I)</f>
        <v/>
      </c>
      <c r="F79" t="str" cm="1">
        <f t="array" ref="F79">SLOOKUP(C79,I:I,I:I,0.75,0)</f>
        <v/>
      </c>
      <c r="G79" t="str" cm="1">
        <f t="array" ref="G79">LLOOKUP(A79,I:I,I:I)</f>
        <v/>
      </c>
      <c r="H79" t="str" cm="1">
        <f t="array" ref="H79">LLOOKUP(C79,I:I,I:I,0.75,0)</f>
        <v/>
      </c>
      <c r="I79" t="s">
        <v>794</v>
      </c>
      <c r="N79" s="3"/>
      <c r="O79" s="3"/>
      <c r="P79" s="3"/>
      <c r="Q79" s="3"/>
    </row>
    <row r="80" spans="1:17" ht="14" customHeight="1">
      <c r="A80" s="6" t="s">
        <v>590</v>
      </c>
      <c r="B80" s="6" t="s">
        <v>591</v>
      </c>
      <c r="C80" t="str">
        <f t="shared" si="2"/>
        <v>Schall und Wahn,William Faulkner</v>
      </c>
      <c r="E80" t="str" cm="1">
        <f t="array" ref="E80">SLOOKUP(A80,I:I,I:I)</f>
        <v/>
      </c>
      <c r="F80" t="str" cm="1">
        <f t="array" ref="F80">SLOOKUP(C80,I:I,I:I,0.75,0)</f>
        <v/>
      </c>
      <c r="G80" t="str" cm="1">
        <f t="array" ref="G80">LLOOKUP(A80,I:I,I:I)</f>
        <v/>
      </c>
      <c r="H80" t="str" cm="1">
        <f t="array" ref="H80">LLOOKUP(C80,I:I,I:I,0.75,0)</f>
        <v/>
      </c>
      <c r="I80" t="s">
        <v>790</v>
      </c>
      <c r="N80" s="3"/>
      <c r="O80" s="3"/>
      <c r="P80" s="3"/>
      <c r="Q80" s="3"/>
    </row>
    <row r="81" spans="1:17" ht="14" customHeight="1">
      <c r="A81" s="6" t="s">
        <v>566</v>
      </c>
      <c r="B81" s="6" t="s">
        <v>567</v>
      </c>
      <c r="C81" t="str">
        <f t="shared" si="2"/>
        <v>Schöne neue Welt,Aldous Huxley</v>
      </c>
      <c r="E81" t="str" cm="1">
        <f t="array" ref="E81">SLOOKUP(A81,I:I,I:I)</f>
        <v>Schöne neue Welt, Aldous Huxley</v>
      </c>
      <c r="F81" t="str" cm="1">
        <f t="array" ref="F81">SLOOKUP(C81,I:I,I:I,0.75,0)</f>
        <v>Schöne neue Welt, Aldous Huxley</v>
      </c>
      <c r="G81" t="str" cm="1">
        <f t="array" ref="G81">LLOOKUP(A81,I:I,I:I)</f>
        <v>Schöne neue Welt, Aldous Huxley</v>
      </c>
      <c r="H81" t="str" cm="1">
        <f t="array" ref="H81">LLOOKUP(C81,I:I,I:I,0.75,0)</f>
        <v>Schöne neue Welt, Aldous Huxley</v>
      </c>
      <c r="I81" t="s">
        <v>810</v>
      </c>
      <c r="N81" s="3"/>
      <c r="O81" s="3"/>
      <c r="P81" s="3"/>
      <c r="Q81" s="3"/>
    </row>
    <row r="82" spans="1:17" ht="14" customHeight="1">
      <c r="A82" s="6" t="s">
        <v>674</v>
      </c>
      <c r="B82" s="6" t="s">
        <v>675</v>
      </c>
      <c r="C82" t="str">
        <f t="shared" si="2"/>
        <v>Schriften,Jacques Lacan</v>
      </c>
      <c r="E82" t="str" cm="1">
        <f t="array" ref="E82">SLOOKUP(A82,I:I,I:I)</f>
        <v/>
      </c>
      <c r="F82" t="str" cm="1">
        <f t="array" ref="F82">SLOOKUP(C82,I:I,I:I,0.75,0)</f>
        <v/>
      </c>
      <c r="G82" s="5" t="str" cm="1">
        <f t="array" ref="G82">LLOOKUP(A82,I:I,I:I)</f>
        <v>Der Mann ohne Eigenschaften, Robert Musil</v>
      </c>
      <c r="H82" t="str" cm="1">
        <f t="array" ref="H82">LLOOKUP(C82,I:I,I:I,0.75,0)</f>
        <v/>
      </c>
      <c r="I82" t="s">
        <v>799</v>
      </c>
      <c r="N82" s="3"/>
      <c r="O82" s="3"/>
      <c r="P82" s="3"/>
      <c r="Q82" s="3"/>
    </row>
    <row r="83" spans="1:17" ht="14" customHeight="1">
      <c r="A83" s="6" t="s">
        <v>628</v>
      </c>
      <c r="B83" s="6" t="s">
        <v>629</v>
      </c>
      <c r="C83" t="str">
        <f t="shared" si="2"/>
        <v>Sechs Personen suchen einen Autor,Luigi Pirandello</v>
      </c>
      <c r="E83" t="str" cm="1">
        <f t="array" ref="E83">SLOOKUP(A83,I:I,I:I)</f>
        <v/>
      </c>
      <c r="F83" t="str" cm="1">
        <f t="array" ref="F83">SLOOKUP(C83,I:I,I:I,0.75,0)</f>
        <v/>
      </c>
      <c r="G83" t="str" cm="1">
        <f t="array" ref="G83">LLOOKUP(A83,I:I,I:I)</f>
        <v/>
      </c>
      <c r="H83" t="str" cm="1">
        <f t="array" ref="H83">LLOOKUP(C83,I:I,I:I,0.75,0)</f>
        <v/>
      </c>
      <c r="I83" t="s">
        <v>802</v>
      </c>
      <c r="N83" s="3"/>
      <c r="O83" s="3"/>
      <c r="P83" s="3"/>
      <c r="Q83" s="3"/>
    </row>
    <row r="84" spans="1:17" ht="14" customHeight="1">
      <c r="A84" s="6" t="s">
        <v>715</v>
      </c>
      <c r="B84" s="6" t="s">
        <v>716</v>
      </c>
      <c r="C84" t="str">
        <f t="shared" si="2"/>
        <v>Seemarken,Saint-John Perse</v>
      </c>
      <c r="E84" t="str" cm="1">
        <f t="array" ref="E84">SLOOKUP(A84,I:I,I:I)</f>
        <v/>
      </c>
      <c r="F84" t="str" cm="1">
        <f t="array" ref="F84">SLOOKUP(C84,I:I,I:I,0.75,0)</f>
        <v/>
      </c>
      <c r="G84" t="str" cm="1">
        <f t="array" ref="G84">LLOOKUP(A84,I:I,I:I)</f>
        <v/>
      </c>
      <c r="H84" t="str" cm="1">
        <f t="array" ref="H84">LLOOKUP(C84,I:I,I:I,0.75,0)</f>
        <v/>
      </c>
      <c r="I84" t="s">
        <v>770</v>
      </c>
      <c r="N84" s="3"/>
      <c r="O84" s="3"/>
      <c r="P84" s="3"/>
      <c r="Q84" s="3"/>
    </row>
    <row r="85" spans="1:17" ht="14" customHeight="1">
      <c r="A85" s="6" t="s">
        <v>534</v>
      </c>
      <c r="B85" s="6" t="s">
        <v>535</v>
      </c>
      <c r="C85" t="str">
        <f t="shared" si="2"/>
        <v>So lebt der Mensch,André Malraux</v>
      </c>
      <c r="E85" t="str" cm="1">
        <f t="array" ref="E85">SLOOKUP(A85,I:I,I:I)</f>
        <v/>
      </c>
      <c r="F85" t="str" cm="1">
        <f t="array" ref="F85">SLOOKUP(C85,I:I,I:I,0.75,0)</f>
        <v/>
      </c>
      <c r="G85" t="str" cm="1">
        <f t="array" ref="G85">LLOOKUP(A85,I:I,I:I)</f>
        <v/>
      </c>
      <c r="H85" t="str" cm="1">
        <f t="array" ref="H85">LLOOKUP(C85,I:I,I:I,0.75,0)</f>
        <v/>
      </c>
      <c r="I85" t="s">
        <v>726</v>
      </c>
      <c r="N85" s="3"/>
      <c r="O85" s="3"/>
      <c r="P85" s="3"/>
      <c r="Q85" s="3"/>
    </row>
    <row r="86" spans="1:17" ht="14" customHeight="1">
      <c r="A86" s="6" t="s">
        <v>686</v>
      </c>
      <c r="B86" s="6" t="s">
        <v>687</v>
      </c>
      <c r="C86" t="str">
        <f t="shared" si="2"/>
        <v>Sophies Entscheidung,William Styron</v>
      </c>
      <c r="E86" t="str" cm="1">
        <f t="array" ref="E86">SLOOKUP(A86,I:I,I:I)</f>
        <v/>
      </c>
      <c r="F86" t="str" cm="1">
        <f t="array" ref="F86">SLOOKUP(C86,I:I,I:I,0.75,0)</f>
        <v/>
      </c>
      <c r="G86" t="str" cm="1">
        <f t="array" ref="G86">LLOOKUP(A86,I:I,I:I)</f>
        <v/>
      </c>
      <c r="H86" t="str" cm="1">
        <f t="array" ref="H86">LLOOKUP(C86,I:I,I:I,0.75,0)</f>
        <v/>
      </c>
      <c r="I86" t="s">
        <v>724</v>
      </c>
      <c r="N86" s="3"/>
      <c r="O86" s="3"/>
      <c r="P86" s="3"/>
      <c r="Q86" s="3"/>
    </row>
    <row r="87" spans="1:17" ht="14" customHeight="1">
      <c r="A87" s="6" t="s">
        <v>646</v>
      </c>
      <c r="B87" s="6" t="s">
        <v>647</v>
      </c>
      <c r="C87" t="str">
        <f t="shared" si="2"/>
        <v>Südseeballade,Hugo Pratt</v>
      </c>
      <c r="E87" t="str" cm="1">
        <f t="array" ref="E87">SLOOKUP(A87,I:I,I:I)</f>
        <v/>
      </c>
      <c r="F87" t="str" cm="1">
        <f t="array" ref="F87">SLOOKUP(C87,I:I,I:I,0.75,0)</f>
        <v/>
      </c>
      <c r="G87" t="str" cm="1">
        <f t="array" ref="G87">LLOOKUP(A87,I:I,I:I)</f>
        <v/>
      </c>
      <c r="H87" t="str" cm="1">
        <f t="array" ref="H87">LLOOKUP(C87,I:I,I:I,0.75,0)</f>
        <v/>
      </c>
      <c r="I87" t="s">
        <v>765</v>
      </c>
      <c r="N87" s="3"/>
      <c r="O87" s="3"/>
      <c r="P87" s="3"/>
      <c r="Q87" s="3"/>
    </row>
    <row r="88" spans="1:17" ht="14" customHeight="1">
      <c r="A88" s="6" t="s">
        <v>562</v>
      </c>
      <c r="B88" s="6" t="s">
        <v>563</v>
      </c>
      <c r="C88" t="str">
        <f t="shared" si="2"/>
        <v>Tagebuch der Anne Frank,Anne Frank</v>
      </c>
      <c r="E88" t="str" cm="1">
        <f t="array" ref="E88">SLOOKUP(A88,I:I,I:I)</f>
        <v>Tagebuch der Anne Frank, Anne Frank</v>
      </c>
      <c r="F88" t="str" cm="1">
        <f t="array" ref="F88">SLOOKUP(C88,I:I,I:I,0.75,0)</f>
        <v>Tagebuch der Anne Frank, Anne Frank</v>
      </c>
      <c r="G88" t="str" cm="1">
        <f t="array" ref="G88">LLOOKUP(A88,I:I,I:I)</f>
        <v>Tagebuch der Anne Frank, Anne Frank</v>
      </c>
      <c r="H88" t="str" cm="1">
        <f t="array" ref="H88">LLOOKUP(C88,I:I,I:I,0.75,0)</f>
        <v>Tagebuch der Anne Frank, Anne Frank</v>
      </c>
      <c r="I88" t="s">
        <v>756</v>
      </c>
      <c r="N88" s="3"/>
      <c r="O88" s="3"/>
      <c r="P88" s="3"/>
      <c r="Q88" s="3"/>
    </row>
    <row r="89" spans="1:17" ht="14" customHeight="1">
      <c r="A89" s="6" t="s">
        <v>670</v>
      </c>
      <c r="B89" s="6" t="s">
        <v>671</v>
      </c>
      <c r="C89" t="str">
        <f t="shared" si="2"/>
        <v>Tagebücher 1887-1910,Jules Renard</v>
      </c>
      <c r="E89" t="str" cm="1">
        <f t="array" ref="E89">SLOOKUP(A89,I:I,I:I)</f>
        <v/>
      </c>
      <c r="F89" t="str" cm="1">
        <f t="array" ref="F89">SLOOKUP(C89,I:I,I:I,0.75,0)</f>
        <v/>
      </c>
      <c r="G89" t="str" cm="1">
        <f t="array" ref="G89">LLOOKUP(A89,I:I,I:I)</f>
        <v/>
      </c>
      <c r="H89" t="str" cm="1">
        <f t="array" ref="H89">LLOOKUP(C89,I:I,I:I,0.75,0)</f>
        <v/>
      </c>
      <c r="I89" t="s">
        <v>751</v>
      </c>
      <c r="N89" s="3"/>
      <c r="O89" s="3"/>
      <c r="P89" s="3"/>
      <c r="Q89" s="3"/>
    </row>
    <row r="90" spans="1:17" ht="14" customHeight="1">
      <c r="A90" s="6" t="s">
        <v>564</v>
      </c>
      <c r="B90" s="6" t="s">
        <v>565</v>
      </c>
      <c r="C90" t="str">
        <f t="shared" si="2"/>
        <v>Traurige Tropen,Claude Lévi-Strauss</v>
      </c>
      <c r="E90" t="str" cm="1">
        <f t="array" ref="E90">SLOOKUP(A90,I:I,I:I)</f>
        <v/>
      </c>
      <c r="F90" t="str" cm="1">
        <f t="array" ref="F90">SLOOKUP(C90,I:I,I:I,0.75,0)</f>
        <v/>
      </c>
      <c r="G90" t="str" cm="1">
        <f t="array" ref="G90">LLOOKUP(A90,I:I,I:I)</f>
        <v/>
      </c>
      <c r="H90" t="str" cm="1">
        <f t="array" ref="H90">LLOOKUP(C90,I:I,I:I,0.75,0)</f>
        <v/>
      </c>
      <c r="I90" t="s">
        <v>815</v>
      </c>
      <c r="N90" s="3"/>
      <c r="O90" s="3"/>
      <c r="P90" s="3"/>
      <c r="Q90" s="3"/>
    </row>
    <row r="91" spans="1:17" ht="14" customHeight="1">
      <c r="A91" s="8" t="s">
        <v>828</v>
      </c>
      <c r="B91" s="6" t="s">
        <v>712</v>
      </c>
      <c r="C91" t="str">
        <f t="shared" si="2"/>
        <v>Trilogie: Sexus, Plexus und Nexus,Henry Miller</v>
      </c>
      <c r="E91" t="str" cm="1">
        <f t="array" ref="E91">SLOOKUP(A91,I:I,I:I)</f>
        <v/>
      </c>
      <c r="F91" t="str" cm="1">
        <f t="array" ref="F91">SLOOKUP(C91,I:I,I:I,0.75,0)</f>
        <v/>
      </c>
      <c r="G91" t="str" cm="1">
        <f t="array" ref="G91">LLOOKUP(A91,I:I,I:I)</f>
        <v/>
      </c>
      <c r="H91" t="str" cm="1">
        <f t="array" ref="H91">LLOOKUP(C91,I:I,I:I,0.75,0)</f>
        <v/>
      </c>
      <c r="I91" t="s">
        <v>784</v>
      </c>
      <c r="N91" s="3"/>
      <c r="O91" s="3"/>
      <c r="P91" s="3"/>
      <c r="Q91" s="3"/>
    </row>
    <row r="92" spans="1:17" ht="14" customHeight="1">
      <c r="A92" s="6" t="s">
        <v>668</v>
      </c>
      <c r="B92" s="6" t="s">
        <v>669</v>
      </c>
      <c r="C92" t="str">
        <f t="shared" si="2"/>
        <v>Tropismen,Nathalie Sarraute</v>
      </c>
      <c r="E92" t="str" cm="1">
        <f t="array" ref="E92">SLOOKUP(A92,I:I,I:I)</f>
        <v/>
      </c>
      <c r="F92" t="str" cm="1">
        <f t="array" ref="F92">SLOOKUP(C92,I:I,I:I,0.75,0)</f>
        <v/>
      </c>
      <c r="G92" t="str" cm="1">
        <f t="array" ref="G92">LLOOKUP(A92,I:I,I:I)</f>
        <v/>
      </c>
      <c r="H92" t="str" cm="1">
        <f t="array" ref="H92">LLOOKUP(C92,I:I,I:I,0.75,0)</f>
        <v/>
      </c>
      <c r="I92" t="s">
        <v>771</v>
      </c>
      <c r="N92" s="3"/>
      <c r="O92" s="3"/>
      <c r="P92" s="3"/>
      <c r="Q92" s="3"/>
    </row>
    <row r="93" spans="1:17" ht="14" customHeight="1">
      <c r="A93" s="6" t="s">
        <v>578</v>
      </c>
      <c r="B93" s="6" t="s">
        <v>579</v>
      </c>
      <c r="C93" t="str">
        <f t="shared" si="2"/>
        <v>Ulysses,James Joyce</v>
      </c>
      <c r="E93" t="str" cm="1">
        <f t="array" ref="E93">SLOOKUP(A93,I:I,I:I)</f>
        <v>Ulysses, James Joyce</v>
      </c>
      <c r="F93" t="str" cm="1">
        <f t="array" ref="F93">SLOOKUP(C93,I:I,I:I,0.75,0)</f>
        <v>Ulysses, James Joyce</v>
      </c>
      <c r="G93" t="str" cm="1">
        <f t="array" ref="G93">LLOOKUP(A93,I:I,I:I)</f>
        <v>Ulysses, James Joyce</v>
      </c>
      <c r="H93" t="str" cm="1">
        <f t="array" ref="H93">LLOOKUP(C93,I:I,I:I,0.75,0)</f>
        <v>Ulysses, James Joyce</v>
      </c>
      <c r="I93" t="s">
        <v>743</v>
      </c>
      <c r="N93" s="3"/>
      <c r="O93" s="3"/>
      <c r="P93" s="3"/>
      <c r="Q93" s="3"/>
    </row>
    <row r="94" spans="1:17" ht="14" customHeight="1">
      <c r="A94" s="6" t="s">
        <v>719</v>
      </c>
      <c r="B94" s="6" t="s">
        <v>720</v>
      </c>
      <c r="C94" t="str">
        <f t="shared" si="2"/>
        <v>Unter dem Vulkan,Malcolm Lowry</v>
      </c>
      <c r="E94" t="str" cm="1">
        <f t="array" ref="E94">SLOOKUP(A94,I:I,I:I)</f>
        <v/>
      </c>
      <c r="F94" t="str" cm="1">
        <f t="array" ref="F94">SLOOKUP(C94,I:I,I:I,0.75,0)</f>
        <v/>
      </c>
      <c r="G94" t="str" cm="1">
        <f t="array" ref="G94">LLOOKUP(A94,I:I,I:I)</f>
        <v/>
      </c>
      <c r="H94" t="str" cm="1">
        <f t="array" ref="H94">LLOOKUP(C94,I:I,I:I,0.75,0)</f>
        <v/>
      </c>
      <c r="I94" t="s">
        <v>776</v>
      </c>
      <c r="N94" s="3"/>
      <c r="O94" s="3"/>
      <c r="P94" s="3"/>
      <c r="Q94" s="3"/>
    </row>
    <row r="95" spans="1:17" ht="14" customHeight="1">
      <c r="A95" s="6" t="s">
        <v>656</v>
      </c>
      <c r="B95" s="6" t="s">
        <v>657</v>
      </c>
      <c r="C95" t="str">
        <f t="shared" si="2"/>
        <v>Unterwegs,Jack Kerouac</v>
      </c>
      <c r="E95" t="str" cm="1">
        <f t="array" ref="E95">SLOOKUP(A95,I:I,I:I)</f>
        <v/>
      </c>
      <c r="F95" t="str" cm="1">
        <f t="array" ref="F95">SLOOKUP(C95,I:I,I:I,0.75,0)</f>
        <v/>
      </c>
      <c r="G95" t="str" cm="1">
        <f t="array" ref="G95">LLOOKUP(A95,I:I,I:I)</f>
        <v/>
      </c>
      <c r="H95" t="str" cm="1">
        <f t="array" ref="H95">LLOOKUP(C95,I:I,I:I,0.75,0)</f>
        <v/>
      </c>
      <c r="I95" t="s">
        <v>727</v>
      </c>
      <c r="N95" s="3"/>
      <c r="O95" s="3"/>
      <c r="P95" s="3"/>
      <c r="Q95" s="3"/>
    </row>
    <row r="96" spans="1:17" ht="14" customHeight="1">
      <c r="A96" s="6" t="s">
        <v>596</v>
      </c>
      <c r="B96" s="6" t="s">
        <v>597</v>
      </c>
      <c r="C96" t="str">
        <f t="shared" si="2"/>
        <v>Verwirrung der Gefühle,Stefan Zweig</v>
      </c>
      <c r="E96" t="str" cm="1">
        <f t="array" ref="E96">SLOOKUP(A96,I:I,I:I)</f>
        <v/>
      </c>
      <c r="F96" t="str" cm="1">
        <f t="array" ref="F96">SLOOKUP(C96,I:I,I:I,0.75,0)</f>
        <v/>
      </c>
      <c r="G96" t="str" cm="1">
        <f t="array" ref="G96">LLOOKUP(A96,I:I,I:I)</f>
        <v/>
      </c>
      <c r="H96" t="str" cm="1">
        <f t="array" ref="H96">LLOOKUP(C96,I:I,I:I,0.75,0)</f>
        <v/>
      </c>
      <c r="I96" t="s">
        <v>752</v>
      </c>
      <c r="N96" s="3"/>
      <c r="O96" s="3"/>
      <c r="P96" s="3"/>
      <c r="Q96" s="3"/>
    </row>
    <row r="97" spans="1:17" ht="14" customHeight="1">
      <c r="A97" s="6" t="s">
        <v>598</v>
      </c>
      <c r="B97" s="6" t="s">
        <v>599</v>
      </c>
      <c r="C97" t="str">
        <f t="shared" si="2"/>
        <v>Vom Winde verweht,Margaret Mitchell</v>
      </c>
      <c r="E97" t="str" cm="1">
        <f t="array" ref="E97">SLOOKUP(A97,I:I,I:I)</f>
        <v>Vom Winde verweht, Margaret Mitchell</v>
      </c>
      <c r="F97" t="str" cm="1">
        <f t="array" ref="F97">SLOOKUP(C97,I:I,I:I,0.75,0)</f>
        <v>Vom Winde verweht, Margaret Mitchell</v>
      </c>
      <c r="G97" t="str" cm="1">
        <f t="array" ref="G97">LLOOKUP(A97,I:I,I:I)</f>
        <v>Vom Winde verweht, Margaret Mitchell</v>
      </c>
      <c r="H97" t="str" cm="1">
        <f t="array" ref="H97">LLOOKUP(C97,I:I,I:I,0.75,0)</f>
        <v>Vom Winde verweht, Margaret Mitchell</v>
      </c>
      <c r="I97" t="s">
        <v>732</v>
      </c>
      <c r="N97" s="3"/>
      <c r="O97" s="3"/>
      <c r="P97" s="3"/>
      <c r="Q97" s="3"/>
    </row>
    <row r="98" spans="1:17" ht="14" customHeight="1">
      <c r="A98" s="6" t="s">
        <v>548</v>
      </c>
      <c r="B98" s="6" t="s">
        <v>549</v>
      </c>
      <c r="C98" t="str">
        <f t="shared" ref="C98:C101" si="3">A98&amp;","&amp;B98</f>
        <v>Warten auf Godot,Samuel Beckett</v>
      </c>
      <c r="E98" t="str" cm="1">
        <f t="array" ref="E98">SLOOKUP(A98,I:I,I:I)</f>
        <v/>
      </c>
      <c r="F98" t="str" cm="1">
        <f t="array" ref="F98">SLOOKUP(C98,I:I,I:I,0.75,0)</f>
        <v/>
      </c>
      <c r="G98" t="str" cm="1">
        <f t="array" ref="G98">LLOOKUP(A98,I:I,I:I)</f>
        <v/>
      </c>
      <c r="H98" t="str" cm="1">
        <f t="array" ref="H98">LLOOKUP(C98,I:I,I:I,0.75,0)</f>
        <v/>
      </c>
      <c r="I98" t="s">
        <v>760</v>
      </c>
      <c r="N98" s="3"/>
      <c r="O98" s="3"/>
      <c r="P98" s="3"/>
      <c r="Q98" s="3"/>
    </row>
    <row r="99" spans="1:17" ht="14" customHeight="1">
      <c r="A99" s="6" t="s">
        <v>540</v>
      </c>
      <c r="B99" s="6" t="s">
        <v>541</v>
      </c>
      <c r="C99" t="str">
        <f t="shared" si="3"/>
        <v>Wem die Stunde schlägt,Ernest Hemingway</v>
      </c>
      <c r="E99" t="str" cm="1">
        <f t="array" ref="E99">SLOOKUP(A99,I:I,I:I)</f>
        <v>Wem die Stunde schlägt, Ernest Hemingway</v>
      </c>
      <c r="F99" t="str" cm="1">
        <f t="array" ref="F99">SLOOKUP(C99,I:I,I:I,0.75,0)</f>
        <v>Wem die Stunde schlägt, Ernest Hemingway</v>
      </c>
      <c r="G99" t="str" cm="1">
        <f t="array" ref="G99">LLOOKUP(A99,I:I,I:I)</f>
        <v>Wem die Stunde schlägt, Ernest Hemingway</v>
      </c>
      <c r="H99" t="str" cm="1">
        <f t="array" ref="H99">LLOOKUP(C99,I:I,I:I,0.75,0)</f>
        <v>Wem die Stunde schlägt, Ernest Hemingway</v>
      </c>
      <c r="I99" t="s">
        <v>763</v>
      </c>
      <c r="N99" s="3"/>
      <c r="O99" s="3"/>
      <c r="P99" s="3"/>
      <c r="Q99" s="3"/>
    </row>
    <row r="100" spans="1:17" ht="14" customHeight="1">
      <c r="A100" s="6" t="s">
        <v>594</v>
      </c>
      <c r="B100" s="6" t="s">
        <v>595</v>
      </c>
      <c r="C100" t="str">
        <f t="shared" si="3"/>
        <v>Zazie in der Metro,Raymond Queneau</v>
      </c>
      <c r="E100" t="str" cm="1">
        <f t="array" ref="E100">SLOOKUP(A100,I:I,I:I)</f>
        <v/>
      </c>
      <c r="F100" t="str" cm="1">
        <f t="array" ref="F100">SLOOKUP(C100,I:I,I:I,0.75,0)</f>
        <v/>
      </c>
      <c r="G100" t="str" cm="1">
        <f t="array" ref="G100">LLOOKUP(A100,I:I,I:I)</f>
        <v/>
      </c>
      <c r="H100" t="str" cm="1">
        <f t="array" ref="H100">LLOOKUP(C100,I:I,I:I,0.75,0)</f>
        <v/>
      </c>
      <c r="I100" t="s">
        <v>762</v>
      </c>
      <c r="N100" s="3"/>
      <c r="O100" s="3"/>
      <c r="P100" s="3"/>
      <c r="Q100" s="3"/>
    </row>
    <row r="101" spans="1:17" ht="14" customHeight="1">
      <c r="A101" s="6" t="s">
        <v>688</v>
      </c>
      <c r="B101" s="6" t="s">
        <v>689</v>
      </c>
      <c r="C101" t="str">
        <f t="shared" si="3"/>
        <v>Zigeunerromanzen,Federico García Lorca</v>
      </c>
      <c r="E101" t="str" cm="1">
        <f t="array" ref="E101">SLOOKUP(A101,I:I,I:I)</f>
        <v/>
      </c>
      <c r="F101" t="str" cm="1">
        <f t="array" ref="F101">SLOOKUP(C101,I:I,I:I,0.75,0)</f>
        <v/>
      </c>
      <c r="G101" t="str" cm="1">
        <f t="array" ref="G101">LLOOKUP(A101,I:I,I:I)</f>
        <v/>
      </c>
      <c r="H101" t="str" cm="1">
        <f t="array" ref="H101">LLOOKUP(C101,I:I,I:I,0.75,0)</f>
        <v/>
      </c>
      <c r="I101" t="s">
        <v>798</v>
      </c>
      <c r="N101" s="3"/>
      <c r="O101" s="3"/>
      <c r="P101" s="3"/>
      <c r="Q101" s="3"/>
    </row>
    <row r="102" spans="1:17" ht="14" customHeight="1">
      <c r="E102" t="str" cm="1">
        <f t="array" ref="E102">SLOOKUP(A102,I:I,I:I)</f>
        <v/>
      </c>
      <c r="F102" t="str" cm="1">
        <f t="array" ref="F102">SLOOKUP(C102,I:I,I:I,0.75,0)</f>
        <v/>
      </c>
      <c r="G102" t="str" cm="1">
        <f t="array" ref="G102">LLOOKUP(A102,I:I,I:I,0.7)</f>
        <v/>
      </c>
      <c r="H102" t="str" cm="1">
        <f t="array" ref="H102">LLOOKUP(C102,I:I,I:I,0.75,0)</f>
        <v/>
      </c>
      <c r="I102" t="s">
        <v>787</v>
      </c>
      <c r="N102" s="3"/>
      <c r="O102" s="3"/>
      <c r="P102" s="3"/>
      <c r="Q102" s="3"/>
    </row>
  </sheetData>
  <hyperlinks>
    <hyperlink ref="A21" r:id="rId1" tooltip="Der Fremde" display="https://de.wikipedia.org/wiki/Der_Fremde" xr:uid="{1F05CD2D-AA65-C749-AA71-DFE1543C0903}"/>
    <hyperlink ref="B21" r:id="rId2" tooltip="Albert Camus" display="https://de.wikipedia.org/wiki/Albert_Camus" xr:uid="{02085993-EDF4-6F45-A1E6-A139BF9DEC53}"/>
    <hyperlink ref="A7" r:id="rId3" tooltip="Auf der Suche nach der verlorenen Zeit" display="https://de.wikipedia.org/wiki/Auf_der_Suche_nach_der_verlorenen_Zeit" xr:uid="{6450CC9E-5964-A14E-AFF4-A3B73312FA05}"/>
    <hyperlink ref="B7" r:id="rId4" tooltip="Marcel Proust" display="https://de.wikipedia.org/wiki/Marcel_Proust" xr:uid="{05737FFC-F163-0541-A1B0-77F3965E8405}"/>
    <hyperlink ref="A34" r:id="rId5" tooltip="Der Process" display="https://de.wikipedia.org/wiki/Der_Process" xr:uid="{688952D8-138F-204E-9696-C70CB812172F}"/>
    <hyperlink ref="B34" r:id="rId6" tooltip="Franz Kafka" display="https://de.wikipedia.org/wiki/Franz_Kafka" xr:uid="{A6B4CA41-3F01-724E-9329-BC68BF805BAF}"/>
    <hyperlink ref="A29" r:id="rId7" tooltip="Der kleine Prinz" display="https://de.wikipedia.org/wiki/Der_kleine_Prinz" xr:uid="{1F44E698-7A89-CF4F-8C93-D9A838BB0CFD}"/>
    <hyperlink ref="B29" r:id="rId8" tooltip="Antoine de Saint-Exupéry" display="https://de.wikipedia.org/wiki/Antoine_de_Saint-Exup%C3%A9ry" xr:uid="{0F425618-7E9B-BC48-AFBB-DE683C03B796}"/>
    <hyperlink ref="A85" r:id="rId9" tooltip="So lebt der Mensch" display="https://de.wikipedia.org/wiki/So_lebt_der_Mensch" xr:uid="{366C7BAF-BAA7-C74A-9815-67FDAFECFCF8}"/>
    <hyperlink ref="B85" r:id="rId10" tooltip="André Malraux" display="https://de.wikipedia.org/wiki/Andr%C3%A9_Malraux" xr:uid="{30C00B56-2FC8-B944-B942-1FC55B959C24}"/>
    <hyperlink ref="A79" r:id="rId11" tooltip="Reise ans Ende der Nacht" display="https://de.wikipedia.org/wiki/Reise_ans_Ende_der_Nacht" xr:uid="{F475EE80-3103-6B4F-A23C-0B9BF08F11EC}"/>
    <hyperlink ref="B79" r:id="rId12" tooltip="Louis-Ferdinand Céline" display="https://de.wikipedia.org/wiki/Louis-Ferdinand_C%C3%A9line" xr:uid="{FE8916BE-1956-B246-9D6E-83EFD0828148}"/>
    <hyperlink ref="A59" r:id="rId13" tooltip="Früchte des Zorns" display="https://de.wikipedia.org/wiki/Fr%C3%BCchte_des_Zorns" xr:uid="{34F6655F-52D1-234C-93AF-1A2F06ACB621}"/>
    <hyperlink ref="B59" r:id="rId14" tooltip="John Steinbeck" display="https://de.wikipedia.org/wiki/John_Steinbeck" xr:uid="{6F8A541D-4155-B043-98FB-2AB0E324275B}"/>
    <hyperlink ref="A99" r:id="rId15" tooltip="Wem die Stunde schlägt" display="https://de.wikipedia.org/wiki/Wem_die_Stunde_schl%C3%A4gt" xr:uid="{E44384CE-A37F-2140-8559-0ED5AF75B934}"/>
    <hyperlink ref="B99" r:id="rId16" tooltip="Ernest Hemingway" display="https://de.wikipedia.org/wiki/Ernest_Hemingway" xr:uid="{027B224D-AD2A-BB4E-A51D-DAA7CA5CC6CD}"/>
    <hyperlink ref="A24" r:id="rId17" tooltip="Der große Meaulnes" display="https://de.wikipedia.org/wiki/Der_gro%C3%9Fe_Meaulnes" xr:uid="{4F9492FB-91E6-7247-AFDC-B674E2A5A52D}"/>
    <hyperlink ref="B24" r:id="rId18" tooltip="Alain-Fournier" display="https://de.wikipedia.org/wiki/Alain-Fournier" xr:uid="{508DE21C-4B7A-7A4D-8D0F-DD8951527357}"/>
    <hyperlink ref="A35" r:id="rId19" tooltip="Der Schaum der Tage (Roman)" display="https://de.wikipedia.org/wiki/Der_Schaum_der_Tage_(Roman)" xr:uid="{87BB9A54-6291-8243-80CF-E36F13A09E63}"/>
    <hyperlink ref="B35" r:id="rId20" tooltip="Boris Vian" display="https://de.wikipedia.org/wiki/Boris_Vian" xr:uid="{F1079B8D-A0A8-0446-AF46-18D8648B68B2}"/>
    <hyperlink ref="A10" r:id="rId21" tooltip="Das andere Geschlecht" display="https://de.wikipedia.org/wiki/Das_andere_Geschlecht" xr:uid="{5DCF24E0-58F1-CE41-9837-B3F17A2251E9}"/>
    <hyperlink ref="B10" r:id="rId22" tooltip="Simone de Beauvoir" display="https://de.wikipedia.org/wiki/Simone_de_Beauvoir" xr:uid="{A18F6BFC-3EAA-754B-AB1F-1789FB12586E}"/>
    <hyperlink ref="A98" r:id="rId23" tooltip="Warten auf Godot" display="https://de.wikipedia.org/wiki/Warten_auf_Godot" xr:uid="{B731C12D-8D21-5646-8CFC-D85CDCC0975A}"/>
    <hyperlink ref="B98" r:id="rId24" tooltip="Samuel Beckett" display="https://de.wikipedia.org/wiki/Samuel_Beckett" xr:uid="{0BA04E42-CF87-8D4C-938F-853C04CB7018}"/>
    <hyperlink ref="A14" r:id="rId25" tooltip="Das Sein und das Nichts" display="https://de.wikipedia.org/wiki/Das_Sein_und_das_Nichts" xr:uid="{D38A56C7-1750-3E43-A2BD-0F2819512A57}"/>
    <hyperlink ref="B14" r:id="rId26" tooltip="Jean-Paul Sartre" display="https://de.wikipedia.org/wiki/Jean-Paul_Sartre" xr:uid="{AA89F740-CC93-6349-BBBA-89E9C286B6FD}"/>
    <hyperlink ref="A33" r:id="rId27" tooltip="Der Name der Rose" display="https://de.wikipedia.org/wiki/Der_Name_der_Rose" xr:uid="{D4C3C937-ABAD-FF4E-A0C6-D91F6FC4759D}"/>
    <hyperlink ref="B33" r:id="rId28" tooltip="Umberto Eco" display="https://de.wikipedia.org/wiki/Umberto_Eco" xr:uid="{0CEA8F6D-ABC0-3940-B484-1BB1CB870799}"/>
    <hyperlink ref="A17" r:id="rId29" tooltip="Der Archipel Gulag" display="https://de.wikipedia.org/wiki/Der_Archipel_Gulag" xr:uid="{805E19D7-DC80-054C-9AFD-D8C4BF5DC804}"/>
    <hyperlink ref="B17" r:id="rId30" tooltip="Alexander Issajewitsch Solschenizyn" display="https://de.wikipedia.org/wiki/Alexander_Issajewitsch_Solschenizyn" xr:uid="{EEDBE4B0-4B82-0344-A22B-83D96F052B39}"/>
    <hyperlink ref="A78" r:id="rId31" tooltip="Paroles (Seite nicht vorhanden)" display="https://de.wikipedia.org/w/index.php?title=Paroles&amp;action=edit&amp;redlink=1" xr:uid="{AD044519-019B-1541-97AC-477027D09402}"/>
    <hyperlink ref="B78" r:id="rId32" tooltip="Jacques Prévert" display="https://de.wikipedia.org/wiki/Jacques_Pr%C3%A9vert" xr:uid="{6DC8E0CA-32C5-054F-85EF-55DFA954FDC3}"/>
    <hyperlink ref="A4" r:id="rId33" location="„Alcools“" tooltip="Guillaume Apollinaire" display="file:///wiki/Guillaume_Apollinaire - „Alcools“" xr:uid="{7CA9BEE2-0D29-1C45-A6E3-9F6CC3F0C7F6}"/>
    <hyperlink ref="B4" r:id="rId34" tooltip="Guillaume Apollinaire" display="https://de.wikipedia.org/wiki/Guillaume_Apollinaire" xr:uid="{D7E82C10-3F28-154B-B46B-DAD8B264A6B1}"/>
    <hyperlink ref="A19" r:id="rId35" tooltip="Der Blaue Lotos" display="https://de.wikipedia.org/wiki/Der_Blaue_Lotos" xr:uid="{E4684920-956B-874C-B454-1D53CFF50547}"/>
    <hyperlink ref="B19" r:id="rId36" tooltip="Hergé" display="https://de.wikipedia.org/wiki/Herg%C3%A9" xr:uid="{22DB4E9D-360B-2E47-812E-541A238207A1}"/>
    <hyperlink ref="A88" r:id="rId37" tooltip="Tagebuch der Anne Frank" display="https://de.wikipedia.org/wiki/Tagebuch_der_Anne_Frank" xr:uid="{F5E399BD-FF8A-DC45-95E0-865B996E0301}"/>
    <hyperlink ref="B88" r:id="rId38" tooltip="Anne Frank" display="https://de.wikipedia.org/wiki/Anne_Frank" xr:uid="{23EA99F4-C65B-8149-80FD-EDA2C6E9B9AF}"/>
    <hyperlink ref="A90" r:id="rId39" tooltip="Traurige Tropen" display="https://de.wikipedia.org/wiki/Traurige_Tropen" xr:uid="{C0435969-4CC3-694E-A630-33D89FEB4C84}"/>
    <hyperlink ref="B90" r:id="rId40" tooltip="Claude Lévi-Strauss" display="https://de.wikipedia.org/wiki/Claude_L%C3%A9vi-Strauss" xr:uid="{3C9709E7-E52A-4A46-A81D-98D561352444}"/>
    <hyperlink ref="A81" r:id="rId41" tooltip="Schöne neue Welt" display="https://de.wikipedia.org/wiki/Sch%C3%B6ne_neue_Welt" xr:uid="{1090F545-80E3-3141-B87D-26B63228BD9F}"/>
    <hyperlink ref="B81" r:id="rId42" tooltip="Aldous Huxley" display="https://de.wikipedia.org/wiki/Aldous_Huxley" xr:uid="{D4CB0397-919A-FB4E-B79E-DFFB88874DF0}"/>
    <hyperlink ref="A2" r:id="rId43" tooltip="1984 (Roman)" display="https://de.wikipedia.org/wiki/1984_(Roman)" xr:uid="{09296834-AA69-BD44-A257-D2D5E3E37B4F}"/>
    <hyperlink ref="B2" r:id="rId44" tooltip="George Orwell" display="https://de.wikipedia.org/wiki/George_Orwell" xr:uid="{20D3EC83-99D7-A149-87A3-7B67D9136291}"/>
    <hyperlink ref="A6" r:id="rId45" tooltip="Asterix der Gallier (Comic)" display="https://de.wikipedia.org/wiki/Asterix_der_Gallier_(Comic)" xr:uid="{95B7536E-D760-9D49-B44B-DEDB9CBFC4DE}"/>
    <hyperlink ref="A42" r:id="rId46" tooltip="Die kahle Sängerin" display="https://de.wikipedia.org/wiki/Die_kahle_S%C3%A4ngerin" xr:uid="{6EC67256-1F3C-4A4B-8045-B1D3AC3C5798}"/>
    <hyperlink ref="B42" r:id="rId47" tooltip="Eugène Ionesco" display="https://de.wikipedia.org/wiki/Eug%C3%A8ne_Ionesco" xr:uid="{F4CC674C-7C6C-704B-B3E2-AD8EBC1923E4}"/>
    <hyperlink ref="A54" r:id="rId48" tooltip="Infantile Sexualität" display="https://de.wikipedia.org/wiki/Infantile_Sexualit%C3%A4t" xr:uid="{9187E355-3D4C-5045-B7A7-FAACA989E324}"/>
    <hyperlink ref="B54" r:id="rId49" tooltip="Sigmund Freud" display="https://de.wikipedia.org/wiki/Sigmund_Freud" xr:uid="{D1D69D34-6F35-2647-8CBD-C4480A070A7E}"/>
    <hyperlink ref="A46" r:id="rId50" tooltip="Die schwarze Flamme (Seite nicht vorhanden)" display="https://de.wikipedia.org/w/index.php?title=Die_schwarze_Flamme&amp;action=edit&amp;redlink=1" xr:uid="{2553027C-311C-A944-BDCC-C6F8E5539935}"/>
    <hyperlink ref="B46" r:id="rId51" tooltip="Marguerite Yourcenar" display="https://de.wikipedia.org/wiki/Marguerite_Yourcenar" xr:uid="{D0F543A4-A7C1-9343-9BB0-ABAD85157A18}"/>
    <hyperlink ref="A68" r:id="rId52" tooltip="Lolita (Roman)" display="https://de.wikipedia.org/wiki/Lolita_(Roman)" xr:uid="{36DB1562-54FD-F941-9E96-92EADCAD5012}"/>
    <hyperlink ref="B68" r:id="rId53" tooltip="Vladimir Nabokov" display="https://de.wikipedia.org/wiki/Vladimir_Nabokov" xr:uid="{3F0D1DC1-FAED-BF4E-A6A8-13433A8807C6}"/>
    <hyperlink ref="A93" r:id="rId54" tooltip="Ulysses" display="https://de.wikipedia.org/wiki/Ulysses" xr:uid="{2E35A357-B24C-9F46-8EC8-D544410C4CFF}"/>
    <hyperlink ref="B93" r:id="rId55" tooltip="James Joyce" display="https://de.wikipedia.org/wiki/James_Joyce" xr:uid="{0E3EA563-95FF-3445-BC06-6F9D087087E2}"/>
    <hyperlink ref="A49" r:id="rId56" tooltip="Die Tatarenwüste" display="https://de.wikipedia.org/wiki/Die_Tatarenw%C3%BCste" xr:uid="{89D29A2D-3411-A34A-9EFA-8EB2EA11B6A4}"/>
    <hyperlink ref="B49" r:id="rId57" tooltip="Dino Buzzati" display="https://de.wikipedia.org/wiki/Dino_Buzzati" xr:uid="{1A3A817E-95AF-154C-8827-210BE7ADFB53}"/>
    <hyperlink ref="A41" r:id="rId58" tooltip="Die Falschmünzer" display="https://de.wikipedia.org/wiki/Die_Falschm%C3%BCnzer" xr:uid="{921D38C8-8063-E94B-A2C0-65B5409FBDC5}"/>
    <hyperlink ref="B41" r:id="rId59" tooltip="André Gide" display="https://de.wikipedia.org/wiki/Andr%C3%A9_Gide" xr:uid="{37C40603-DBCD-D74F-AD73-648FB7EA62C9}"/>
    <hyperlink ref="A28" r:id="rId60" tooltip="Der Husar auf dem Dach (Roman)" display="https://de.wikipedia.org/wiki/Der_Husar_auf_dem_Dach_(Roman)" xr:uid="{C5DCF629-35E4-5444-9D78-BDEEA5F2392A}"/>
    <hyperlink ref="B28" r:id="rId61" tooltip="Jean Giono" display="https://de.wikipedia.org/wiki/Jean_Giono" xr:uid="{0D28F03D-071B-294C-94B6-7C02518B0AB4}"/>
    <hyperlink ref="A45" r:id="rId62" tooltip="Die Schöne des Herrn" display="https://de.wikipedia.org/wiki/Die_Sch%C3%B6ne_des_Herrn" xr:uid="{A6F5EE82-4948-434F-80B5-EF51C475C725}"/>
    <hyperlink ref="B45" r:id="rId63" tooltip="Albert Cohen" display="https://de.wikipedia.org/wiki/Albert_Cohen" xr:uid="{2D7F7BD9-A164-F24F-A1EC-AF17633197B3}"/>
    <hyperlink ref="A63" r:id="rId64" tooltip="Hundert Jahre Einsamkeit" display="https://de.wikipedia.org/wiki/Hundert_Jahre_Einsamkeit" xr:uid="{6B9E59B9-A2F4-5F47-96E9-0E6E1DAFC1CB}"/>
    <hyperlink ref="B63" r:id="rId65" tooltip="Gabriel García Márquez" display="https://de.wikipedia.org/wiki/Gabriel_Garc%C3%ADa_M%C3%A1rquez" xr:uid="{FA696A76-0E86-FC4F-9DDC-2A0E11B87E47}"/>
    <hyperlink ref="A80" r:id="rId66" tooltip="Schall und Wahn" display="https://de.wikipedia.org/wiki/Schall_und_Wahn" xr:uid="{69C7FAB9-64D9-1E4B-B396-965F5D1A492E}"/>
    <hyperlink ref="B80" r:id="rId67" tooltip="William Faulkner" display="https://de.wikipedia.org/wiki/William_Faulkner" xr:uid="{C929B103-B1D0-3142-8233-717F0BEA2C96}"/>
    <hyperlink ref="A48" r:id="rId68" tooltip="Die Tat der Thérèse Desqueyroux" display="https://de.wikipedia.org/wiki/Die_Tat_der_Th%C3%A9r%C3%A8se_Desqueyroux" xr:uid="{8E2B7E47-2663-D640-83E1-B47837F72128}"/>
    <hyperlink ref="B48" r:id="rId69" tooltip="François Mauriac" display="https://de.wikipedia.org/wiki/Fran%C3%A7ois_Mauriac" xr:uid="{BEC06F7B-892A-0A4B-8961-613ABCB0671F}"/>
    <hyperlink ref="A100" r:id="rId70" tooltip="Zazie in der Metro" display="https://de.wikipedia.org/wiki/Zazie_in_der_Metro" xr:uid="{3818C601-4BEB-864C-8CFE-67109103D33A}"/>
    <hyperlink ref="B100" r:id="rId71" tooltip="Raymond Queneau" display="https://de.wikipedia.org/wiki/Raymond_Queneau" xr:uid="{A12AEB21-F52E-C34A-978B-55D246E3D564}"/>
    <hyperlink ref="A96" r:id="rId72" tooltip="Verwirrung der Gefühle" display="https://de.wikipedia.org/wiki/Verwirrung_der_Gef%C3%BChle" xr:uid="{DAAD813E-E29A-0746-8BD1-3B3AE11CB791}"/>
    <hyperlink ref="B96" r:id="rId73" tooltip="Stefan Zweig" display="https://de.wikipedia.org/wiki/Stefan_Zweig" xr:uid="{DCD7D40E-F903-2140-A66C-82F813DD6211}"/>
    <hyperlink ref="A97" r:id="rId74" tooltip="Vom Winde verweht" display="https://de.wikipedia.org/wiki/Vom_Winde_verweht" xr:uid="{1EEAB75B-1827-A540-B184-3A5226848A71}"/>
    <hyperlink ref="B97" r:id="rId75" tooltip="Margaret Mitchell" display="https://de.wikipedia.org/wiki/Margaret_Mitchell" xr:uid="{9023EFAA-DD8D-114B-8650-2C69CBE70CE6}"/>
    <hyperlink ref="A66" r:id="rId76" tooltip="Lady Chatterley" display="https://de.wikipedia.org/wiki/Lady_Chatterley" xr:uid="{0CB74643-E1ED-F84B-AC68-2B3D03CFA1CB}"/>
    <hyperlink ref="B66" r:id="rId77" tooltip="D. H. Lawrence" display="https://de.wikipedia.org/wiki/D._H._Lawrence" xr:uid="{720A0735-4939-D94B-8CCA-ADE01BA90B17}"/>
    <hyperlink ref="A38" r:id="rId78" tooltip="Der Zauberberg" display="https://de.wikipedia.org/wiki/Der_Zauberberg" xr:uid="{ED05C7B5-7C0E-4F4A-8CD8-59DC12ABD66A}"/>
    <hyperlink ref="B38" r:id="rId79" tooltip="Thomas Mann" display="https://de.wikipedia.org/wiki/Thomas_Mann" xr:uid="{EA65A5AB-3384-7A4B-B58A-E853D1CFD5AC}"/>
    <hyperlink ref="A9" r:id="rId80" tooltip="Bonjour tristesse (Roman)" display="https://de.wikipedia.org/wiki/Bonjour_tristesse_(Roman)" xr:uid="{16F47314-8AF1-404A-AB5A-C8EE911D39E1}"/>
    <hyperlink ref="B9" r:id="rId81" tooltip="Françoise Sagan" display="https://de.wikipedia.org/wiki/Fran%C3%A7oise_Sagan" xr:uid="{EF159D4B-03D2-AE49-9A97-09F2C1BFD78F}"/>
    <hyperlink ref="A13" r:id="rId82" tooltip="Das Schweigen des Meeres" display="https://de.wikipedia.org/wiki/Das_Schweigen_des_Meeres" xr:uid="{88353E88-7BA7-984B-B9F1-0AE1C0439AB7}"/>
    <hyperlink ref="B13" r:id="rId83" tooltip="Vercors (Schriftsteller)" display="https://de.wikipedia.org/wiki/Vercors_(Schriftsteller)" xr:uid="{AB937FDC-A9EF-9549-AE15-FDC300999E0F}"/>
    <hyperlink ref="A11" r:id="rId84" tooltip="Das Leben Gebrauchsanweisung" display="https://de.wikipedia.org/wiki/Das_Leben_Gebrauchsanweisung" xr:uid="{47BAC2AD-61AF-EA45-B3C8-283DA9D94819}"/>
    <hyperlink ref="B11" r:id="rId85" tooltip="Georges Perec" display="https://de.wikipedia.org/wiki/Georges_Perec" xr:uid="{62A3198C-1B72-154C-9F51-F6670BCE5790}"/>
    <hyperlink ref="A27" r:id="rId86" tooltip="Der Hund von Baskerville" display="https://de.wikipedia.org/wiki/Der_Hund_von_Baskerville" xr:uid="{6F393FBA-16A9-FB4D-BDF6-B4C13221AF57}"/>
    <hyperlink ref="B27" r:id="rId87" tooltip="Arthur Conan Doyle" display="https://de.wikipedia.org/wiki/Arthur_Conan_Doyle" xr:uid="{9AE2D8A7-3DBD-7843-84CB-93CE0632EEAC}"/>
    <hyperlink ref="A47" r:id="rId88" tooltip="Die Sonne Satans" display="https://de.wikipedia.org/wiki/Die_Sonne_Satans" xr:uid="{D94DEB41-A708-5C45-B2BF-9885E6893AFA}"/>
    <hyperlink ref="B47" r:id="rId89" tooltip="Georges Bernanos" display="https://de.wikipedia.org/wiki/Georges_Bernanos" xr:uid="{470E9226-0D6C-3A4C-B339-850EC75C3830}"/>
    <hyperlink ref="A23" r:id="rId90" tooltip="Der große Gatsby" display="https://de.wikipedia.org/wiki/Der_gro%C3%9Fe_Gatsby" xr:uid="{4B2190F2-63BB-B24B-95DA-78E330AF2C90}"/>
    <hyperlink ref="B23" r:id="rId91" tooltip="F. Scott Fitzgerald" display="https://de.wikipedia.org/wiki/F._Scott_Fitzgerald" xr:uid="{8D8878A2-5378-064A-9FA5-BC22AF827694}"/>
    <hyperlink ref="A36" r:id="rId92" tooltip="Der Scherz" display="https://de.wikipedia.org/wiki/Der_Scherz" xr:uid="{3982A857-FEED-C545-AE43-87B73EA37DB2}"/>
    <hyperlink ref="B36" r:id="rId93" tooltip="Milan Kundera" display="https://de.wikipedia.org/wiki/Milan_Kundera" xr:uid="{EC9387A2-013C-9C43-9A34-A3FC560A530B}"/>
    <hyperlink ref="A50" r:id="rId94" tooltip="Die Verachtung" display="https://de.wikipedia.org/wiki/Die_Verachtung" xr:uid="{540258CE-366C-8A4C-A741-D987386EC98B}"/>
    <hyperlink ref="B50" r:id="rId95" tooltip="Alberto Moravia" display="https://de.wikipedia.org/wiki/Alberto_Moravia" xr:uid="{013322D8-4D44-3D4E-B8B1-2F7B53C3A1D8}"/>
    <hyperlink ref="A3" r:id="rId96" tooltip="Alibi (Roman)" display="https://de.wikipedia.org/wiki/Alibi_(Roman)" xr:uid="{532735A6-03C5-3D49-86FB-E1DD1213FFEC}"/>
    <hyperlink ref="B3" r:id="rId97" tooltip="Agatha Christie" display="https://de.wikipedia.org/wiki/Agatha_Christie" xr:uid="{1D0FC269-83ED-DB4A-9615-83F98F72073F}"/>
    <hyperlink ref="A75" r:id="rId98" tooltip="Nadja (Roman)" display="https://de.wikipedia.org/wiki/Nadja_(Roman)" xr:uid="{B31BB0C0-8505-1948-B9F2-F5FC5D1E65FA}"/>
    <hyperlink ref="B75" r:id="rId99" tooltip="André Breton" display="https://de.wikipedia.org/wiki/Andr%C3%A9_Breton" xr:uid="{D2D24954-9E6F-C74C-9109-C39ED2F93F8B}"/>
    <hyperlink ref="A8" r:id="rId100" tooltip="Aurélien (Roman)" display="https://de.wikipedia.org/wiki/Aur%C3%A9lien_(Roman)" xr:uid="{286016F1-053B-974B-964C-00ABD1E7545C}"/>
    <hyperlink ref="B8" r:id="rId101" tooltip="Louis Aragon" display="https://de.wikipedia.org/wiki/Louis_Aragon" xr:uid="{7EA9485B-A4EE-6745-B9E5-D16A42161AA2}"/>
    <hyperlink ref="A37" r:id="rId102" tooltip="Der seidene Schuh (Seite nicht vorhanden)" display="https://de.wikipedia.org/w/index.php?title=Der_seidene_Schuh&amp;action=edit&amp;redlink=1" xr:uid="{9B29AEC5-054C-2549-9617-9889E3D2D9D6}"/>
    <hyperlink ref="B37" r:id="rId103" tooltip="Paul Claudel" display="https://de.wikipedia.org/wiki/Paul_Claudel" xr:uid="{79474D3D-938A-8D4D-9D18-2639DE975A74}"/>
    <hyperlink ref="A83" r:id="rId104" tooltip="Sechs Personen suchen einen Autor" display="https://de.wikipedia.org/wiki/Sechs_Personen_suchen_einen_Autor" xr:uid="{5B25A96D-1BAC-254B-82B5-81CE66DB4616}"/>
    <hyperlink ref="B83" r:id="rId105" tooltip="Luigi Pirandello" display="https://de.wikipedia.org/wiki/Luigi_Pirandello" xr:uid="{2949B6DB-CAD8-244D-B0E3-E625E1B5E807}"/>
    <hyperlink ref="A18" r:id="rId106" tooltip="Der aufhaltsame Aufstieg des Arturo Ui" display="https://de.wikipedia.org/wiki/Der_aufhaltsame_Aufstieg_des_Arturo_Ui" xr:uid="{8147EB23-1006-A64A-8600-65138547158A}"/>
    <hyperlink ref="B18" r:id="rId107" tooltip="Bertolt Brecht" display="https://de.wikipedia.org/wiki/Bertolt_Brecht" xr:uid="{E4FA5C46-F12B-4948-9F14-8FEA93A7ED29}"/>
    <hyperlink ref="A58" r:id="rId108" tooltip="Freitag oder Im Schoss des Pazifik (Seite nicht vorhanden)" display="https://de.wikipedia.org/w/index.php?title=Freitag_oder_Im_Schoss_des_Pazifik&amp;action=edit&amp;redlink=1" xr:uid="{FCFF6B41-3FE1-5D4C-8ABA-501B37D80DE9}"/>
    <hyperlink ref="B58" r:id="rId109" tooltip="Michel Tournier" display="https://de.wikipedia.org/wiki/Michel_Tournier" xr:uid="{C0BB7FAF-4E70-584C-94A9-04E896052F74}"/>
    <hyperlink ref="A30" r:id="rId110" tooltip="Krieg der Welten" display="https://de.wikipedia.org/wiki/Krieg_der_Welten" xr:uid="{269F0F90-AABC-7F49-948C-35E9DF5C109F}"/>
    <hyperlink ref="B30" r:id="rId111" tooltip="H. G. Wells" display="https://de.wikipedia.org/wiki/H._G._Wells" xr:uid="{2F777D8F-347C-2D45-83E6-BD0C67CC1329}"/>
    <hyperlink ref="A64" r:id="rId112" tooltip="Ist das ein Mensch?" display="https://de.wikipedia.org/wiki/Ist_das_ein_Mensch%3F" xr:uid="{F5B28886-B296-F845-BCD1-DF48B69D71C9}"/>
    <hyperlink ref="B64" r:id="rId113" tooltip="Primo Levi" display="https://de.wikipedia.org/wiki/Primo_Levi" xr:uid="{51CC4FDC-F171-7A41-A522-0F235D1B4A67}"/>
    <hyperlink ref="A26" r:id="rId114" tooltip="Der Herr der Ringe" display="https://de.wikipedia.org/wiki/Der_Herr_der_Ringe" xr:uid="{D3B18593-1A41-BD4F-AD59-1637796B1018}"/>
    <hyperlink ref="B26" r:id="rId115" tooltip="J. R. R. Tolkien" display="https://de.wikipedia.org/wiki/J._R._R._Tolkien" xr:uid="{165B1228-37C9-EA49-91B6-AB8B81BBB17E}"/>
    <hyperlink ref="A67" r:id="rId116" tooltip="Les Vrilles de la vigne (Seite nicht vorhanden)" display="https://de.wikipedia.org/w/index.php?title=Les_Vrilles_de_la_vigne&amp;action=edit&amp;redlink=1" xr:uid="{069360FB-7AD6-934E-B13A-27E486F46495}"/>
    <hyperlink ref="B67" r:id="rId117" tooltip="Sidonie-Gabrielle Colette" display="https://de.wikipedia.org/wiki/Sidonie-Gabrielle_Colette" xr:uid="{168B0DD0-AAD8-8849-9915-E188B936F73D}"/>
    <hyperlink ref="A62" r:id="rId118" tooltip="Hauptstadt der Schmerzen (Seite nicht vorhanden)" display="https://de.wikipedia.org/w/index.php?title=Hauptstadt_der_Schmerzen&amp;action=edit&amp;redlink=1" xr:uid="{7576FB13-0CCA-0A49-A3A0-7CF0068FC02F}"/>
    <hyperlink ref="B62" r:id="rId119" tooltip="Paul Éluard" display="https://de.wikipedia.org/wiki/Paul_%C3%89luard" xr:uid="{4CB6A033-036B-EC46-96D3-0FFDC89254ED}"/>
    <hyperlink ref="A72" r:id="rId120" tooltip="Martin Eden" display="https://de.wikipedia.org/wiki/Martin_Eden" xr:uid="{CEC269FD-1075-644F-B77E-848586380101}"/>
    <hyperlink ref="B72" r:id="rId121" tooltip="Jack London" display="https://de.wikipedia.org/wiki/Jack_London" xr:uid="{6808F0D3-2C60-1B49-AB2B-D1CAEEDB3041}"/>
    <hyperlink ref="A87" r:id="rId122" tooltip="Corto Maltese" display="https://de.wikipedia.org/wiki/Corto_Maltese" xr:uid="{F8C3139F-42DA-414A-96B6-D34F4E663D31}"/>
    <hyperlink ref="B87" r:id="rId123" tooltip="Hugo Pratt" display="https://de.wikipedia.org/wiki/Hugo_Pratt" xr:uid="{DD96144D-6749-FB4E-91F2-EB83FE5DD665}"/>
    <hyperlink ref="A5" r:id="rId124" tooltip="Am Nullpunkt der Literatur" display="https://de.wikipedia.org/wiki/Am_Nullpunkt_der_Literatur" xr:uid="{1A834544-03A8-7046-A0FA-053DFD3313EB}"/>
    <hyperlink ref="B5" r:id="rId125" tooltip="Roland Barthes" display="https://de.wikipedia.org/wiki/Roland_Barthes" xr:uid="{940EE7D2-3BA7-0C47-A4DC-1BEBBE1B4BAA}"/>
    <hyperlink ref="A51" r:id="rId126" tooltip="Die verlorene Ehre der Katharina Blum" display="https://de.wikipedia.org/wiki/Die_verlorene_Ehre_der_Katharina_Blum" xr:uid="{9B681694-20BA-354E-9C48-F811E61FAF78}"/>
    <hyperlink ref="B51" r:id="rId127" tooltip="Heinrich Böll" display="https://de.wikipedia.org/wiki/Heinrich_B%C3%B6ll" xr:uid="{568546B0-A48B-3046-9D46-E9C2D3D20828}"/>
    <hyperlink ref="A16" r:id="rId128" tooltip="Das Ufer der Syrten (Seite nicht vorhanden)" display="https://de.wikipedia.org/w/index.php?title=Das_Ufer_der_Syrten&amp;action=edit&amp;redlink=1" xr:uid="{976DD0F9-EE99-F940-BA00-03B0FD1158B8}"/>
    <hyperlink ref="B16" r:id="rId129" tooltip="Julien Gracq" display="https://de.wikipedia.org/wiki/Julien_Gracq" xr:uid="{C4330809-F9CD-7A41-901E-7732D87C64BE}"/>
    <hyperlink ref="A44" r:id="rId130" tooltip="Die Ordnung der Dinge" display="https://de.wikipedia.org/wiki/Die_Ordnung_der_Dinge" xr:uid="{102303FE-5C94-AC47-9C1D-477A75F870B9}"/>
    <hyperlink ref="B44" r:id="rId131" tooltip="Michel Foucault" display="https://de.wikipedia.org/wiki/Michel_Foucault" xr:uid="{655A2797-D4FE-FC49-A990-282D06EE1CCB}"/>
    <hyperlink ref="A95" r:id="rId132" tooltip="Unterwegs" display="https://de.wikipedia.org/wiki/Unterwegs" xr:uid="{EA053116-A33D-7949-9AEE-866DC24A0919}"/>
    <hyperlink ref="B95" r:id="rId133" tooltip="Jack Kerouac" display="https://de.wikipedia.org/wiki/Jack_Kerouac" xr:uid="{C19ADAE3-44A1-AB4F-A6B1-D12EEA6FCFE7}"/>
    <hyperlink ref="A53" r:id="rId134" tooltip="Die wunderbare Reise des kleinen Nils Holgersson mit den Wildgänsen" display="https://de.wikipedia.org/wiki/Die_wunderbare_Reise_des_kleinen_Nils_Holgersson_mit_den_Wildg%C3%A4nsen" xr:uid="{5908267F-30E4-EE4E-A3CC-EB62FA76AEDF}"/>
    <hyperlink ref="B53" r:id="rId135" tooltip="Selma Lagerlöf" display="https://de.wikipedia.org/wiki/Selma_Lagerl%C3%B6f" xr:uid="{810DF654-9F4E-A241-9D47-E96F5210EF64}"/>
    <hyperlink ref="A55" r:id="rId136" tooltip="Ein Zimmer für sich allein" display="https://de.wikipedia.org/wiki/Ein_Zimmer_f%C3%BCr_sich_allein" xr:uid="{9357B264-DB9C-6D4C-94CE-0A880CF66973}"/>
    <hyperlink ref="B55" r:id="rId137" tooltip="Virginia Woolf" display="https://de.wikipedia.org/wiki/Virginia_Woolf" xr:uid="{1C0547F9-B3A8-C540-A616-85B21D6B3E0A}"/>
    <hyperlink ref="A43" r:id="rId138" tooltip="Die Mars-Chroniken" display="https://de.wikipedia.org/wiki/Die_Mars-Chroniken" xr:uid="{4AF187BF-5C18-C04B-965E-BF22FF2A31FB}"/>
    <hyperlink ref="B43" r:id="rId139" tooltip="Ray Bradbury" display="https://de.wikipedia.org/wiki/Ray_Bradbury" xr:uid="{A3F9BC9E-15DE-7C45-837B-5282C623F2B6}"/>
    <hyperlink ref="A52" r:id="rId140" tooltip="Die Verzückung der Lol V. Stein (Seite nicht vorhanden)" display="https://de.wikipedia.org/w/index.php?title=Die_Verz%C3%BCckung_der_Lol_V._Stein&amp;action=edit&amp;redlink=1" xr:uid="{599CF1EF-8AB0-8640-B301-702A34ABA629}"/>
    <hyperlink ref="B52" r:id="rId141" tooltip="Marguerite Duras" display="https://de.wikipedia.org/wiki/Marguerite_Duras" xr:uid="{57B19061-FD84-A94E-8FE3-0CB236BAB9DF}"/>
    <hyperlink ref="A12" r:id="rId142" tooltip="Das Protokoll (Seite nicht vorhanden)" display="https://de.wikipedia.org/w/index.php?title=Das_Protokoll&amp;action=edit&amp;redlink=1" xr:uid="{6E0A41BF-1853-554C-84BE-F8328C53A758}"/>
    <hyperlink ref="B12" r:id="rId143" tooltip="Jean-Marie Gustave Le Clézio" display="https://de.wikipedia.org/wiki/Jean-Marie_Gustave_Le_Cl%C3%A9zio" xr:uid="{5B1E608E-7806-8A4C-9F61-4018F5C22F0D}"/>
    <hyperlink ref="A92" r:id="rId144" tooltip="Tropismen (Seite nicht vorhanden)" display="https://de.wikipedia.org/w/index.php?title=Tropismen&amp;action=edit&amp;redlink=1" xr:uid="{31D97727-0998-1549-8DC7-A4B7A15C96B2}"/>
    <hyperlink ref="B92" r:id="rId145" tooltip="Nathalie Sarraute" display="https://de.wikipedia.org/wiki/Nathalie_Sarraute" xr:uid="{C3C28EFA-6455-1B4F-85D0-9C09E65D4B42}"/>
    <hyperlink ref="A89" r:id="rId146" tooltip="Tagebücher 1887-1910 (Seite nicht vorhanden)" display="https://de.wikipedia.org/w/index.php?title=Tageb%C3%BCcher_1887-1910&amp;action=edit&amp;redlink=1" xr:uid="{4785C3BA-F405-8F47-9AD3-C9E0EBBB3BA7}"/>
    <hyperlink ref="B89" r:id="rId147" tooltip="Jules Renard" display="https://de.wikipedia.org/wiki/Jules_Renard" xr:uid="{63D47CA1-A4C9-EA45-A5B0-24C343636A55}"/>
    <hyperlink ref="A69" r:id="rId148" tooltip="Lord Jim" display="https://de.wikipedia.org/wiki/Lord_Jim" xr:uid="{94449E46-7C93-F142-95B7-F10CF20B2A98}"/>
    <hyperlink ref="B69" r:id="rId149" tooltip="Joseph Conrad" display="https://de.wikipedia.org/wiki/Joseph_Conrad" xr:uid="{46DA19C7-D399-4F4C-ACB6-9C9753B830F8}"/>
    <hyperlink ref="A82" r:id="rId150" tooltip="Schriften (Lacan) (Seite nicht vorhanden)" display="https://de.wikipedia.org/w/index.php?title=Schriften_(Lacan)&amp;action=edit&amp;redlink=1" xr:uid="{9DD4E258-A31D-C344-9FB6-4F6A87F5CDEE}"/>
    <hyperlink ref="B82" r:id="rId151" tooltip="Jacques Lacan" display="https://de.wikipedia.org/wiki/Jacques_Lacan" xr:uid="{4D17D636-0D5F-B346-9C42-D44741CC97DB}"/>
    <hyperlink ref="A15" r:id="rId152" tooltip="Das Theater und sein Double (Seite nicht vorhanden)" display="https://de.wikipedia.org/w/index.php?title=Das_Theater_und_sein_Double&amp;action=edit&amp;redlink=1" xr:uid="{49B0B004-F316-C94F-8539-4A06588CFA2E}"/>
    <hyperlink ref="B15" r:id="rId153" tooltip="Antonin Artaud" display="https://de.wikipedia.org/wiki/Antonin_Artaud" xr:uid="{CD716D9A-D7E3-7B4A-A51D-649DDDB7F701}"/>
    <hyperlink ref="A71" r:id="rId154" tooltip="Manhattan Transfer (Roman)" display="https://de.wikipedia.org/wiki/Manhattan_Transfer_(Roman)" xr:uid="{D828A970-58CA-E84F-BAC7-7852B0434A59}"/>
    <hyperlink ref="B71" r:id="rId155" tooltip="John Dos Passos" display="https://de.wikipedia.org/wiki/John_Dos_Passos" xr:uid="{9068532E-DECD-CC49-8359-2BF3FC2D3889}"/>
    <hyperlink ref="A57" r:id="rId156" tooltip="Fiktionen" display="https://de.wikipedia.org/wiki/Fiktionen" xr:uid="{E56A35D8-8E55-FD4C-9985-3931943D075E}"/>
    <hyperlink ref="B57" r:id="rId157" tooltip="Jorge Luis Borges" display="https://de.wikipedia.org/wiki/Jorge_Luis_Borges" xr:uid="{EEF88688-A062-CC40-996B-4FFDDD5A5810}"/>
    <hyperlink ref="A74" r:id="rId158" tooltip="Moloch. Das Leben des Moravagine" display="https://de.wikipedia.org/wiki/Moloch._Das_Leben_des_Moravagine" xr:uid="{B7B92A5D-1BB5-7840-B747-2C872CB0137D}"/>
    <hyperlink ref="B74" r:id="rId159" tooltip="Blaise Cendrars" display="https://de.wikipedia.org/wiki/Blaise_Cendrars" xr:uid="{6143F8B2-1E06-EE49-8CB1-EDED14BEE850}"/>
    <hyperlink ref="A22" r:id="rId160" tooltip="Der General der toten Armee (Seite nicht vorhanden)" display="https://de.wikipedia.org/w/index.php?title=Der_General_der_toten_Armee&amp;action=edit&amp;redlink=1" xr:uid="{855B69A2-2FC7-0F44-B95C-C14A9D0248A9}"/>
    <hyperlink ref="B22" r:id="rId161" tooltip="Ismail Kadare" display="https://de.wikipedia.org/wiki/Ismail_Kadare" xr:uid="{AF8CF667-BFEA-C141-A1EA-3C69AA3D4F94}"/>
    <hyperlink ref="A86" r:id="rId162" tooltip="Sophies Entscheidung" display="https://de.wikipedia.org/wiki/Sophies_Entscheidung" xr:uid="{CC09F3BC-F31A-8A43-9024-8E1ECB5EE47C}"/>
    <hyperlink ref="B86" r:id="rId163" tooltip="William Styron" display="https://de.wikipedia.org/wiki/William_Styron" xr:uid="{4AA83093-1599-1F46-AAC5-2B41EFD89972}"/>
    <hyperlink ref="A101" r:id="rId164" tooltip="Zigeunerromanzen" display="https://de.wikipedia.org/wiki/Zigeunerromanzen" xr:uid="{271F647D-A120-EA4C-9C4A-CD0186865415}"/>
    <hyperlink ref="B101" r:id="rId165" tooltip="Federico García Lorca" display="https://de.wikipedia.org/wiki/Federico_Garc%C3%ADa_Lorca" xr:uid="{C0EBB2F7-91A0-0C45-8696-253D1D98F76B}"/>
    <hyperlink ref="A70" r:id="rId166" tooltip="Maigret und Pietr der Lette" display="https://de.wikipedia.org/wiki/Maigret_und_Pietr_der_Lette" xr:uid="{8374FE94-9DA0-5A46-96A9-A74298CB953C}"/>
    <hyperlink ref="B70" r:id="rId167" tooltip="Georges Simenon" display="https://de.wikipedia.org/wiki/Georges_Simenon" xr:uid="{61F982DB-81EB-8545-9836-A5C4B8002E0F}"/>
    <hyperlink ref="A76" r:id="rId168" tooltip="Notre-Dame-des-Fleurs (Seite nicht vorhanden)" display="https://de.wikipedia.org/w/index.php?title=Notre-Dame-des-Fleurs&amp;action=edit&amp;redlink=1" xr:uid="{63A4E24C-0534-AF4E-ADF8-81211EEDFBA6}"/>
    <hyperlink ref="B76" r:id="rId169" tooltip="Jean Genet" display="https://de.wikipedia.org/wiki/Jean_Genet" xr:uid="{F6F18E70-6347-E94A-899C-77CD427D9819}"/>
    <hyperlink ref="A31" r:id="rId170" tooltip="Der Mann ohne Eigenschaften" display="https://de.wikipedia.org/wiki/Der_Mann_ohne_Eigenschaften" xr:uid="{535CC86A-29E2-9840-9097-CDB891DB4764}"/>
    <hyperlink ref="B31" r:id="rId171" tooltip="Robert Musil" display="https://de.wikipedia.org/wiki/Robert_Musil" xr:uid="{1DB284C8-69DA-E440-8652-6CBD6443DE12}"/>
    <hyperlink ref="A60" r:id="rId172" tooltip="Fureur et mystère (Seite nicht vorhanden)" display="https://de.wikipedia.org/w/index.php?title=Fureur_et_myst%C3%A8re&amp;action=edit&amp;redlink=1" xr:uid="{A26BD8EE-9A87-6C46-81A6-6F58DA570570}"/>
    <hyperlink ref="B60" r:id="rId173" tooltip="René Char" display="https://de.wikipedia.org/wiki/Ren%C3%A9_Char" xr:uid="{4C7BD791-295E-1E4C-BF2C-611B2FF8A734}"/>
    <hyperlink ref="A20" r:id="rId174" tooltip="Der Fänger im Roggen" display="https://de.wikipedia.org/wiki/Der_F%C3%A4nger_im_Roggen" xr:uid="{296F6B19-31CC-2640-B0A7-2DB100557C3C}"/>
    <hyperlink ref="B20" r:id="rId175" tooltip="J. D. Salinger" display="https://de.wikipedia.org/wiki/J._D._Salinger" xr:uid="{03E317A4-C3AE-BE4C-9006-756FB5EAFAC5}"/>
    <hyperlink ref="A65" r:id="rId176" tooltip="Keine Orchideen für Mrs. Blandish (Seite nicht vorhanden)" display="https://de.wikipedia.org/w/index.php?title=Keine_Orchideen_f%C3%BCr_Mrs._Blandish&amp;action=edit&amp;redlink=1" xr:uid="{C5DD5897-FEC8-CD48-94D0-F2C17BCBDC7C}"/>
    <hyperlink ref="B65" r:id="rId177" tooltip="James Hadley Chase" display="https://de.wikipedia.org/wiki/James_Hadley_Chase" xr:uid="{D322D8C9-BB5A-C144-A2F3-4684C5107162}"/>
    <hyperlink ref="A39" r:id="rId178" tooltip="Blake und Mortimer" display="https://de.wikipedia.org/wiki/Blake_und_Mortimer" xr:uid="{E8D48918-287B-FE4C-991A-3615AD46947E}"/>
    <hyperlink ref="B39" r:id="rId179" tooltip="Edgar P. Jacobs" display="https://de.wikipedia.org/wiki/Edgar_P._Jacobs" xr:uid="{937ED501-3EB4-6348-AC7B-80E936550270}"/>
    <hyperlink ref="A40" r:id="rId180" tooltip="Die Aufzeichnungen des Malte Laurids Brigge" display="https://de.wikipedia.org/wiki/Die_Aufzeichnungen_des_Malte_Laurids_Brigge" xr:uid="{63ED3FD1-EE1D-A243-A452-BDDCB6FCBE04}"/>
    <hyperlink ref="B40" r:id="rId181" tooltip="Rainer Maria Rilke" display="https://de.wikipedia.org/wiki/Rainer_Maria_Rilke" xr:uid="{92CA3294-8001-3944-8809-A3DB10076706}"/>
    <hyperlink ref="A77" r:id="rId182" tooltip="Paris-Rom oder Die Modifikation (Seite nicht vorhanden)" display="https://de.wikipedia.org/w/index.php?title=Paris-Rom_oder_Die_Modifikation&amp;action=edit&amp;redlink=1" xr:uid="{84CAFD39-D913-FD4E-8B47-F518BEA9F253}"/>
    <hyperlink ref="B77" r:id="rId183" tooltip="Michel Butor" display="https://de.wikipedia.org/wiki/Michel_Butor" xr:uid="{4BF4D35C-F840-DD4A-8611-FCC809C52058}"/>
    <hyperlink ref="A56" r:id="rId184" tooltip="Elemente und Ursprünge totaler Herrschaft" display="https://de.wikipedia.org/wiki/Elemente_und_Urspr%C3%BCnge_totaler_Herrschaft" xr:uid="{E916BD4D-90EF-8945-84D1-03C2FAAE9995}"/>
    <hyperlink ref="B56" r:id="rId185" tooltip="Hannah Arendt" display="https://de.wikipedia.org/wiki/Hannah_Arendt" xr:uid="{7E3FC9D4-1A07-1B40-BA8B-7F56F10902E6}"/>
    <hyperlink ref="A32" r:id="rId186" tooltip="Der Meister und Margarita" display="https://de.wikipedia.org/wiki/Der_Meister_und_Margarita" xr:uid="{80EC1BA7-A768-6844-B334-E6658A7A6F73}"/>
    <hyperlink ref="B32" r:id="rId187" tooltip="Michail Bulgakow" display="https://de.wikipedia.org/wiki/Michail_Bulgakow" xr:uid="{0678F18E-5D92-B545-B53D-107E9EB9ADEE}"/>
    <hyperlink ref="B91" r:id="rId188" tooltip="Henry Miller" display="https://de.wikipedia.org/wiki/Henry_Miller" xr:uid="{AC001EA8-890F-8749-9F07-309F27568C7D}"/>
    <hyperlink ref="A25" r:id="rId189" tooltip="Der große Schlaf" display="https://de.wikipedia.org/wiki/Der_gro%C3%9Fe_Schlaf" xr:uid="{32D63BD5-30BE-7C47-B0DA-F8A84024F866}"/>
    <hyperlink ref="B25" r:id="rId190" tooltip="Raymond Chandler" display="https://de.wikipedia.org/wiki/Raymond_Chandler" xr:uid="{8D794045-377D-B14E-9F90-23887AC52126}"/>
    <hyperlink ref="A84" r:id="rId191" tooltip="Seemarken (Seite nicht vorhanden)" display="https://de.wikipedia.org/w/index.php?title=Seemarken&amp;action=edit&amp;redlink=1" xr:uid="{F4E393B1-EB49-4C44-870F-294CC89C4EAD}"/>
    <hyperlink ref="B84" r:id="rId192" tooltip="Saint-John Perse" display="https://de.wikipedia.org/wiki/Saint-John_Perse" xr:uid="{2E910969-E1F2-604E-9C20-201EA0DE3F12}"/>
    <hyperlink ref="A61" r:id="rId193" tooltip="Gaston (Comic)" display="https://de.wikipedia.org/wiki/Gaston_(Comic)" xr:uid="{CD9F43A6-823D-9541-A833-028D5E6F8AB0}"/>
    <hyperlink ref="B61" r:id="rId194" tooltip="André Franquin" display="https://de.wikipedia.org/wiki/Andr%C3%A9_Franquin" xr:uid="{9633F997-42B8-2E4A-B479-2F937DA49A0E}"/>
    <hyperlink ref="A94" r:id="rId195" tooltip="Unter dem Vulkan" display="https://de.wikipedia.org/wiki/Unter_dem_Vulkan" xr:uid="{7F6A6BBE-108E-664C-B4D2-0031E6847F4B}"/>
    <hyperlink ref="B94" r:id="rId196" tooltip="Malcolm Lowry" display="https://de.wikipedia.org/wiki/Malcolm_Lowry" xr:uid="{198437F5-D850-5741-8095-AE5F7649ACDC}"/>
    <hyperlink ref="A73" r:id="rId197" tooltip="Mitternachtskinder" display="https://de.wikipedia.org/wiki/Mitternachtskinder" xr:uid="{AEBBE1D3-F39B-D445-BCC2-238430189B97}"/>
    <hyperlink ref="B73" r:id="rId198" tooltip="Salman Rushdie" display="https://de.wikipedia.org/wiki/Salman_Rushdie" xr:uid="{8410C336-AB84-EB48-95C9-81341DD8BBC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8FE81-CE35-1141-B1FA-6A002284BF7C}">
  <sheetPr codeName="Sheet3"/>
  <dimension ref="A1:O101"/>
  <sheetViews>
    <sheetView topLeftCell="D1" workbookViewId="0">
      <selection activeCell="N3" sqref="N3"/>
    </sheetView>
  </sheetViews>
  <sheetFormatPr baseColWidth="10" defaultRowHeight="14"/>
  <cols>
    <col min="1" max="1" width="32.5" customWidth="1"/>
    <col min="2" max="3" width="10.5" customWidth="1"/>
    <col min="4" max="4" width="25.6640625" customWidth="1"/>
    <col min="5" max="5" width="24.6640625" customWidth="1"/>
    <col min="6" max="7" width="10.5" customWidth="1"/>
    <col min="8" max="8" width="25" customWidth="1"/>
    <col min="9" max="9" width="25.6640625" customWidth="1"/>
    <col min="10" max="10" width="10.5" customWidth="1"/>
    <col min="11" max="11" width="10.1640625" customWidth="1"/>
    <col min="12" max="13" width="21.6640625" customWidth="1"/>
  </cols>
  <sheetData>
    <row r="1" spans="1:15" s="1" customFormat="1">
      <c r="A1" s="1" t="s">
        <v>826</v>
      </c>
      <c r="B1" s="1" t="s">
        <v>839</v>
      </c>
      <c r="C1" s="1" t="s">
        <v>840</v>
      </c>
      <c r="D1" s="2" t="s">
        <v>844</v>
      </c>
      <c r="E1" s="2" t="s">
        <v>845</v>
      </c>
      <c r="F1" s="1" t="s">
        <v>841</v>
      </c>
      <c r="G1" s="1" t="s">
        <v>842</v>
      </c>
      <c r="H1" s="2" t="s">
        <v>846</v>
      </c>
      <c r="I1" s="2" t="s">
        <v>1872</v>
      </c>
      <c r="J1" s="1" t="s">
        <v>843</v>
      </c>
      <c r="K1" s="1" t="s">
        <v>843</v>
      </c>
      <c r="L1" s="2" t="s">
        <v>847</v>
      </c>
      <c r="M1" s="2" t="s">
        <v>1873</v>
      </c>
    </row>
    <row r="2" spans="1:15">
      <c r="A2" s="7" t="s">
        <v>825</v>
      </c>
      <c r="B2" t="str">
        <f ca="1">REPLACE(A2,RANDBETWEEN(1,LEN(A2)),1,CHAR(RANDBETWEEN(97,122)))</f>
        <v>198q</v>
      </c>
      <c r="C2" t="str">
        <f ca="1">REPLACE(B2,RANDBETWEEN(1,LEN(B2)),1,CHAR(RANDBETWEEN(97,122)))</f>
        <v>19uq</v>
      </c>
      <c r="D2" t="str" cm="1">
        <f t="array" aca="1" ref="D2" ca="1">SLOOKUP(C2,A:A,A:A)</f>
        <v/>
      </c>
      <c r="E2" t="str" cm="1">
        <f t="array" aca="1" ref="E2" ca="1">LLOOKUP(C2,A:A,A:A)</f>
        <v/>
      </c>
      <c r="F2" t="str">
        <f ca="1">REPLACE(C2,RANDBETWEEN(1,LEN(C2)),1,CHAR(RANDBETWEEN(97,122)))</f>
        <v>1nuq</v>
      </c>
      <c r="G2" t="str">
        <f ca="1">REPLACE(F2,RANDBETWEEN(1,LEN(F2)),1,CHAR(RANDBETWEEN(97,122)))</f>
        <v>xnuq</v>
      </c>
      <c r="H2" t="str" cm="1">
        <f t="array" aca="1" ref="H2" ca="1">SLOOKUP(G2,A:A,A:A)</f>
        <v/>
      </c>
      <c r="I2" t="str" cm="1">
        <f t="array" aca="1" ref="I2" ca="1">LLOOKUP(G2,A:A,A:A)</f>
        <v/>
      </c>
      <c r="J2" t="str">
        <f ca="1">REPLACE(G2,RANDBETWEEN(1,LEN(G2)),1,CHAR(RANDBETWEEN(97,122)))</f>
        <v>xnzq</v>
      </c>
      <c r="K2" t="str">
        <f ca="1">REPLACE(J2,RANDBETWEEN(1,LEN(J2)),1,CHAR(RANDBETWEEN(97,122)))</f>
        <v>xizq</v>
      </c>
      <c r="L2" t="str" cm="1">
        <f t="array" aca="1" ref="L2" ca="1">SLOOKUP(K2,A:A,A:A)</f>
        <v/>
      </c>
      <c r="M2" t="str" cm="1">
        <f t="array" aca="1" ref="M2" ca="1">LLOOKUP(K2,A:A,A:A)</f>
        <v/>
      </c>
      <c r="O2" t="s">
        <v>848</v>
      </c>
    </row>
    <row r="3" spans="1:15">
      <c r="A3" s="6" t="s">
        <v>620</v>
      </c>
      <c r="B3" t="s">
        <v>896</v>
      </c>
      <c r="C3" t="s">
        <v>897</v>
      </c>
      <c r="D3" t="str" cm="1">
        <f t="array" ref="D3">SLOOKUP(C3,A:A,A:A)</f>
        <v/>
      </c>
      <c r="E3" t="str" cm="1">
        <f t="array" ref="E3">LLOOKUP(C3,A:A,A:A)</f>
        <v/>
      </c>
      <c r="F3" t="s">
        <v>1089</v>
      </c>
      <c r="G3" t="s">
        <v>1090</v>
      </c>
      <c r="H3" t="str" cm="1">
        <f t="array" ref="H3">SLOOKUP(G3,A:A,A:A)</f>
        <v/>
      </c>
      <c r="I3" t="str" cm="1">
        <f t="array" ref="I3">LLOOKUP(G3,A:A,A:A)</f>
        <v/>
      </c>
      <c r="J3" t="s">
        <v>1282</v>
      </c>
      <c r="K3" t="s">
        <v>1283</v>
      </c>
      <c r="L3" t="str" cm="1">
        <f t="array" ref="L3">SLOOKUP(K3,A:A,A:A)</f>
        <v/>
      </c>
      <c r="M3" t="str" cm="1">
        <f t="array" ref="M3">LLOOKUP(K3,A:A,A:A)</f>
        <v/>
      </c>
      <c r="O3" t="s">
        <v>849</v>
      </c>
    </row>
    <row r="4" spans="1:15">
      <c r="A4" s="6" t="s">
        <v>558</v>
      </c>
      <c r="B4" t="s">
        <v>898</v>
      </c>
      <c r="C4" t="s">
        <v>899</v>
      </c>
      <c r="D4" t="str" cm="1">
        <f t="array" ref="D4">SLOOKUP(C4,A:A,A:A)</f>
        <v/>
      </c>
      <c r="E4" t="str" cm="1">
        <f t="array" ref="E4">LLOOKUP(C4,A:A,A:A)</f>
        <v/>
      </c>
      <c r="F4" t="s">
        <v>1091</v>
      </c>
      <c r="G4" t="s">
        <v>1092</v>
      </c>
      <c r="H4" t="str" cm="1">
        <f t="array" ref="H4">SLOOKUP(G4,A:A,A:A)</f>
        <v/>
      </c>
      <c r="I4" t="str" cm="1">
        <f t="array" ref="I4">LLOOKUP(G4,A:A,A:A)</f>
        <v/>
      </c>
      <c r="J4" t="s">
        <v>1284</v>
      </c>
      <c r="K4" t="s">
        <v>1285</v>
      </c>
      <c r="L4" t="str" cm="1">
        <f t="array" ref="L4">SLOOKUP(K4,A:A,A:A)</f>
        <v/>
      </c>
      <c r="M4" t="str" cm="1">
        <f t="array" ref="M4">LLOOKUP(K4,A:A,A:A)</f>
        <v/>
      </c>
      <c r="O4" t="s">
        <v>850</v>
      </c>
    </row>
    <row r="5" spans="1:15">
      <c r="A5" s="6" t="s">
        <v>648</v>
      </c>
      <c r="B5" t="s">
        <v>900</v>
      </c>
      <c r="C5" t="s">
        <v>901</v>
      </c>
      <c r="D5" t="str" cm="1">
        <f t="array" ref="D5">SLOOKUP(C5,A:A,A:A)</f>
        <v>Am Nullpunkt der Literatur</v>
      </c>
      <c r="E5" t="str" cm="1">
        <f t="array" ref="E5">LLOOKUP(C5,A:A,A:A)</f>
        <v>Am Nullpunkt der Literatur</v>
      </c>
      <c r="F5" t="s">
        <v>1093</v>
      </c>
      <c r="G5" t="s">
        <v>1094</v>
      </c>
      <c r="H5" t="str" cm="1">
        <f t="array" ref="H5">SLOOKUP(G5,A:A,A:A)</f>
        <v/>
      </c>
      <c r="I5" t="str" cm="1">
        <f t="array" ref="I5">LLOOKUP(G5,A:A,A:A)</f>
        <v>Am Nullpunkt der Literatur</v>
      </c>
      <c r="J5" t="s">
        <v>1286</v>
      </c>
      <c r="K5" t="s">
        <v>1287</v>
      </c>
      <c r="L5" t="str" cm="1">
        <f t="array" ref="L5">SLOOKUP(K5,A:A,A:A)</f>
        <v/>
      </c>
      <c r="M5" t="str" cm="1">
        <f t="array" ref="M5">LLOOKUP(K5,A:A,A:A)</f>
        <v>Am Nullpunkt der Literatur</v>
      </c>
    </row>
    <row r="6" spans="1:15">
      <c r="A6" s="6" t="s">
        <v>569</v>
      </c>
      <c r="B6" t="s">
        <v>902</v>
      </c>
      <c r="C6" t="s">
        <v>903</v>
      </c>
      <c r="D6" t="str" cm="1">
        <f t="array" ref="D6">SLOOKUP(C6,A:A,A:A)</f>
        <v/>
      </c>
      <c r="E6" t="str" cm="1">
        <f t="array" ref="E6">LLOOKUP(C6,A:A,A:A)</f>
        <v>Asterix der Gallier</v>
      </c>
      <c r="F6" t="s">
        <v>1095</v>
      </c>
      <c r="G6" t="s">
        <v>1096</v>
      </c>
      <c r="H6" t="str" cm="1">
        <f t="array" ref="H6">SLOOKUP(G6,A:A,A:A)</f>
        <v/>
      </c>
      <c r="I6" t="str" cm="1">
        <f t="array" ref="I6">LLOOKUP(G6,A:A,A:A)</f>
        <v>Asterix der Gallier</v>
      </c>
      <c r="J6" t="s">
        <v>1288</v>
      </c>
      <c r="K6" t="s">
        <v>1289</v>
      </c>
      <c r="L6" t="str" cm="1">
        <f t="array" ref="L6">SLOOKUP(K6,A:A,A:A)</f>
        <v/>
      </c>
      <c r="M6" t="str" cm="1">
        <f t="array" ref="M6">LLOOKUP(K6,A:A,A:A)</f>
        <v/>
      </c>
      <c r="O6" t="s">
        <v>851</v>
      </c>
    </row>
    <row r="7" spans="1:15">
      <c r="A7" s="6" t="s">
        <v>528</v>
      </c>
      <c r="B7" t="s">
        <v>904</v>
      </c>
      <c r="C7" t="s">
        <v>905</v>
      </c>
      <c r="D7" t="str" cm="1">
        <f t="array" ref="D7">SLOOKUP(C7,A:A,A:A)</f>
        <v>Auf der Suche nach der verlorenen Zeit</v>
      </c>
      <c r="E7" t="str" cm="1">
        <f t="array" ref="E7">LLOOKUP(C7,A:A,A:A)</f>
        <v>Auf der Suche nach der verlorenen Zeit</v>
      </c>
      <c r="F7" t="s">
        <v>1097</v>
      </c>
      <c r="G7" t="s">
        <v>1098</v>
      </c>
      <c r="H7" t="str" cm="1">
        <f t="array" ref="H7">SLOOKUP(G7,A:A,A:A)</f>
        <v>Auf der Suche nach der verlorenen Zeit</v>
      </c>
      <c r="I7" t="str" cm="1">
        <f t="array" ref="I7">LLOOKUP(G7,A:A,A:A)</f>
        <v>Auf der Suche nach der verlorenen Zeit</v>
      </c>
      <c r="J7" t="s">
        <v>1290</v>
      </c>
      <c r="K7" t="s">
        <v>1291</v>
      </c>
      <c r="L7" t="str" cm="1">
        <f t="array" ref="L7">SLOOKUP(K7,A:A,A:A)</f>
        <v>Auf der Suche nach der verlorenen Zeit</v>
      </c>
      <c r="M7" t="str" cm="1">
        <f t="array" ref="M7">LLOOKUP(K7,A:A,A:A)</f>
        <v>Auf der Suche nach der verlorenen Zeit</v>
      </c>
      <c r="O7" t="s">
        <v>852</v>
      </c>
    </row>
    <row r="8" spans="1:15">
      <c r="A8" s="6" t="s">
        <v>624</v>
      </c>
      <c r="B8" t="s">
        <v>906</v>
      </c>
      <c r="C8" t="s">
        <v>907</v>
      </c>
      <c r="D8" t="str" cm="1">
        <f t="array" ref="D8">SLOOKUP(C8,A:A,A:A)</f>
        <v/>
      </c>
      <c r="E8" t="str" cm="1">
        <f t="array" ref="E8">LLOOKUP(C8,A:A,A:A)</f>
        <v>Aurélien</v>
      </c>
      <c r="F8" t="s">
        <v>1099</v>
      </c>
      <c r="G8" t="s">
        <v>907</v>
      </c>
      <c r="H8" t="str" cm="1">
        <f t="array" ref="H8">SLOOKUP(G8,A:A,A:A)</f>
        <v/>
      </c>
      <c r="I8" t="str" cm="1">
        <f t="array" ref="I8">LLOOKUP(G8,A:A,A:A)</f>
        <v>Aurélien</v>
      </c>
      <c r="J8" t="s">
        <v>1292</v>
      </c>
      <c r="K8" t="s">
        <v>1293</v>
      </c>
      <c r="L8" t="str" cm="1">
        <f t="array" ref="L8">SLOOKUP(K8,A:A,A:A)</f>
        <v/>
      </c>
      <c r="M8" t="str" cm="1">
        <f t="array" ref="M8">LLOOKUP(K8,A:A,A:A)</f>
        <v/>
      </c>
    </row>
    <row r="9" spans="1:15">
      <c r="A9" s="6" t="s">
        <v>604</v>
      </c>
      <c r="B9" t="s">
        <v>908</v>
      </c>
      <c r="C9" t="s">
        <v>909</v>
      </c>
      <c r="D9" t="str" cm="1">
        <f t="array" ref="D9">SLOOKUP(C9,A:A,A:A)</f>
        <v>Bonjour tristesse</v>
      </c>
      <c r="E9" t="str" cm="1">
        <f t="array" ref="E9">LLOOKUP(C9,A:A,A:A)</f>
        <v>Bonjour tristesse</v>
      </c>
      <c r="F9" t="s">
        <v>1100</v>
      </c>
      <c r="G9" t="s">
        <v>1101</v>
      </c>
      <c r="H9" t="str" cm="1">
        <f t="array" ref="H9">SLOOKUP(G9,A:A,A:A)</f>
        <v/>
      </c>
      <c r="I9" t="str" cm="1">
        <f t="array" ref="I9">LLOOKUP(G9,A:A,A:A)</f>
        <v>Bonjour tristesse</v>
      </c>
      <c r="J9" t="s">
        <v>1294</v>
      </c>
      <c r="K9" t="s">
        <v>1295</v>
      </c>
      <c r="L9" t="str" cm="1">
        <f t="array" ref="L9">SLOOKUP(K9,A:A,A:A)</f>
        <v/>
      </c>
      <c r="M9" t="str" cm="1">
        <f t="array" ref="M9">LLOOKUP(K9,A:A,A:A)</f>
        <v/>
      </c>
    </row>
    <row r="10" spans="1:15">
      <c r="A10" s="6" t="s">
        <v>546</v>
      </c>
      <c r="B10" t="s">
        <v>910</v>
      </c>
      <c r="C10" t="s">
        <v>911</v>
      </c>
      <c r="D10" t="str" cm="1">
        <f t="array" ref="D10">SLOOKUP(C10,A:A,A:A)</f>
        <v>Das andere Geschlecht</v>
      </c>
      <c r="E10" t="str" cm="1">
        <f t="array" ref="E10">LLOOKUP(C10,A:A,A:A)</f>
        <v>Das andere Geschlecht</v>
      </c>
      <c r="F10" t="s">
        <v>1102</v>
      </c>
      <c r="G10" t="s">
        <v>1103</v>
      </c>
      <c r="H10" t="str" cm="1">
        <f t="array" ref="H10">SLOOKUP(G10,A:A,A:A)</f>
        <v/>
      </c>
      <c r="I10" t="str" cm="1">
        <f t="array" ref="I10">LLOOKUP(G10,A:A,A:A)</f>
        <v>Das andere Geschlecht</v>
      </c>
      <c r="J10" t="s">
        <v>1296</v>
      </c>
      <c r="K10" t="s">
        <v>1297</v>
      </c>
      <c r="L10" t="str" cm="1">
        <f t="array" ref="L10">SLOOKUP(K10,A:A,A:A)</f>
        <v/>
      </c>
      <c r="M10" t="str" cm="1">
        <f t="array" ref="M10">LLOOKUP(K10,A:A,A:A)</f>
        <v>Das andere Geschlecht</v>
      </c>
    </row>
    <row r="11" spans="1:15">
      <c r="A11" s="6" t="s">
        <v>608</v>
      </c>
      <c r="B11" t="s">
        <v>912</v>
      </c>
      <c r="C11" t="s">
        <v>913</v>
      </c>
      <c r="D11" t="str" cm="1">
        <f t="array" ref="D11">SLOOKUP(C11,A:A,A:A)</f>
        <v>Das Leben Gebrauchsanweisung</v>
      </c>
      <c r="E11" t="str" cm="1">
        <f t="array" ref="E11">LLOOKUP(C11,A:A,A:A)</f>
        <v>Das Leben Gebrauchsanweisung</v>
      </c>
      <c r="F11" t="s">
        <v>1104</v>
      </c>
      <c r="G11" t="s">
        <v>1105</v>
      </c>
      <c r="H11" t="str" cm="1">
        <f t="array" ref="H11">SLOOKUP(G11,A:A,A:A)</f>
        <v>Das Leben Gebrauchsanweisung</v>
      </c>
      <c r="I11" t="str" cm="1">
        <f t="array" ref="I11">LLOOKUP(G11,A:A,A:A)</f>
        <v>Das Leben Gebrauchsanweisung</v>
      </c>
      <c r="J11" t="s">
        <v>1298</v>
      </c>
      <c r="K11" t="s">
        <v>1299</v>
      </c>
      <c r="L11" t="str" cm="1">
        <f t="array" ref="L11">SLOOKUP(K11,A:A,A:A)</f>
        <v/>
      </c>
      <c r="M11" t="str" cm="1">
        <f t="array" ref="M11">LLOOKUP(K11,A:A,A:A)</f>
        <v>Das Leben Gebrauchsanweisung</v>
      </c>
    </row>
    <row r="12" spans="1:15">
      <c r="A12" s="6" t="s">
        <v>666</v>
      </c>
      <c r="B12" t="s">
        <v>914</v>
      </c>
      <c r="C12" t="s">
        <v>915</v>
      </c>
      <c r="D12" t="str" cm="1">
        <f t="array" ref="D12">SLOOKUP(C12,A:A,A:A)</f>
        <v/>
      </c>
      <c r="E12" t="str" cm="1">
        <f t="array" ref="E12">LLOOKUP(C12,A:A,A:A)</f>
        <v>Das Protokoll</v>
      </c>
      <c r="F12" t="s">
        <v>1106</v>
      </c>
      <c r="G12" t="s">
        <v>1107</v>
      </c>
      <c r="H12" t="str" cm="1">
        <f t="array" ref="H12">SLOOKUP(G12,A:A,A:A)</f>
        <v/>
      </c>
      <c r="I12" t="str" cm="1">
        <f t="array" ref="I12">LLOOKUP(G12,A:A,A:A)</f>
        <v/>
      </c>
      <c r="J12" t="s">
        <v>1300</v>
      </c>
      <c r="K12" t="s">
        <v>1301</v>
      </c>
      <c r="L12" t="str" cm="1">
        <f t="array" ref="L12">SLOOKUP(K12,A:A,A:A)</f>
        <v/>
      </c>
      <c r="M12" t="str" cm="1">
        <f t="array" ref="M12">LLOOKUP(K12,A:A,A:A)</f>
        <v/>
      </c>
    </row>
    <row r="13" spans="1:15">
      <c r="A13" s="6" t="s">
        <v>606</v>
      </c>
      <c r="B13" t="s">
        <v>916</v>
      </c>
      <c r="C13" t="s">
        <v>916</v>
      </c>
      <c r="D13" t="str" cm="1">
        <f t="array" ref="D13">SLOOKUP(C13,A:A,A:A)</f>
        <v>Das Schweigen des Meeres</v>
      </c>
      <c r="E13" t="str" cm="1">
        <f t="array" ref="E13">LLOOKUP(C13,A:A,A:A)</f>
        <v>Das Schweigen des Meeres</v>
      </c>
      <c r="F13" t="s">
        <v>1108</v>
      </c>
      <c r="G13" t="s">
        <v>1109</v>
      </c>
      <c r="H13" t="str" cm="1">
        <f t="array" ref="H13">SLOOKUP(G13,A:A,A:A)</f>
        <v>Das Schweigen des Meeres</v>
      </c>
      <c r="I13" t="str" cm="1">
        <f t="array" ref="I13">LLOOKUP(G13,A:A,A:A)</f>
        <v>Das Schweigen des Meeres</v>
      </c>
      <c r="J13" t="s">
        <v>1302</v>
      </c>
      <c r="K13" t="s">
        <v>1303</v>
      </c>
      <c r="L13" t="str" cm="1">
        <f t="array" ref="L13">SLOOKUP(K13,A:A,A:A)</f>
        <v/>
      </c>
      <c r="M13" t="str" cm="1">
        <f t="array" ref="M13">LLOOKUP(K13,A:A,A:A)</f>
        <v>Das Schweigen des Meeres</v>
      </c>
    </row>
    <row r="14" spans="1:15">
      <c r="A14" s="6" t="s">
        <v>550</v>
      </c>
      <c r="B14" t="s">
        <v>917</v>
      </c>
      <c r="C14" t="s">
        <v>918</v>
      </c>
      <c r="D14" t="str" cm="1">
        <f t="array" ref="D14">SLOOKUP(C14,A:A,A:A)</f>
        <v>Das Sein und das Nichts</v>
      </c>
      <c r="E14" t="str" cm="1">
        <f t="array" ref="E14">LLOOKUP(C14,A:A,A:A)</f>
        <v>Das Sein und das Nichts</v>
      </c>
      <c r="F14" t="s">
        <v>1110</v>
      </c>
      <c r="G14" t="s">
        <v>1111</v>
      </c>
      <c r="H14" t="str" cm="1">
        <f t="array" ref="H14">SLOOKUP(G14,A:A,A:A)</f>
        <v/>
      </c>
      <c r="I14" t="str" cm="1">
        <f t="array" ref="I14">LLOOKUP(G14,A:A,A:A)</f>
        <v>Das Sein und das Nichts</v>
      </c>
      <c r="J14" t="s">
        <v>1304</v>
      </c>
      <c r="K14" t="s">
        <v>1305</v>
      </c>
      <c r="L14" t="str" cm="1">
        <f t="array" ref="L14">SLOOKUP(K14,A:A,A:A)</f>
        <v/>
      </c>
      <c r="M14" t="str" cm="1">
        <f t="array" ref="M14">LLOOKUP(K14,A:A,A:A)</f>
        <v>Das Sein und das Nichts</v>
      </c>
    </row>
    <row r="15" spans="1:15">
      <c r="A15" s="6" t="s">
        <v>676</v>
      </c>
      <c r="B15" t="s">
        <v>919</v>
      </c>
      <c r="C15" t="s">
        <v>920</v>
      </c>
      <c r="D15" t="str" cm="1">
        <f t="array" ref="D15">SLOOKUP(C15,A:A,A:A)</f>
        <v>Das Theater und sein Double</v>
      </c>
      <c r="E15" t="str" cm="1">
        <f t="array" ref="E15">LLOOKUP(C15,A:A,A:A)</f>
        <v>Das Theater und sein Double</v>
      </c>
      <c r="F15" t="s">
        <v>1112</v>
      </c>
      <c r="G15" t="s">
        <v>1113</v>
      </c>
      <c r="H15" t="str" cm="1">
        <f t="array" ref="H15">SLOOKUP(G15,A:A,A:A)</f>
        <v/>
      </c>
      <c r="I15" t="str" cm="1">
        <f t="array" ref="I15">LLOOKUP(G15,A:A,A:A)</f>
        <v>Das Theater und sein Double</v>
      </c>
      <c r="J15" t="s">
        <v>1306</v>
      </c>
      <c r="K15" t="s">
        <v>1307</v>
      </c>
      <c r="L15" t="str" cm="1">
        <f t="array" ref="L15">SLOOKUP(K15,A:A,A:A)</f>
        <v/>
      </c>
      <c r="M15" t="str" cm="1">
        <f t="array" ref="M15">LLOOKUP(K15,A:A,A:A)</f>
        <v>Das Theater und sein Double</v>
      </c>
    </row>
    <row r="16" spans="1:15">
      <c r="A16" s="6" t="s">
        <v>652</v>
      </c>
      <c r="B16" t="s">
        <v>921</v>
      </c>
      <c r="C16" t="s">
        <v>922</v>
      </c>
      <c r="D16" t="str" cm="1">
        <f t="array" ref="D16">SLOOKUP(C16,A:A,A:A)</f>
        <v>Das Ufer der Syrten</v>
      </c>
      <c r="E16" t="str" cm="1">
        <f t="array" ref="E16">LLOOKUP(C16,A:A,A:A)</f>
        <v>Das Ufer der Syrten</v>
      </c>
      <c r="F16" t="s">
        <v>1114</v>
      </c>
      <c r="G16" t="s">
        <v>1115</v>
      </c>
      <c r="H16" t="str" cm="1">
        <f t="array" ref="H16">SLOOKUP(G16,A:A,A:A)</f>
        <v/>
      </c>
      <c r="I16" t="str" cm="1">
        <f t="array" ref="I16">LLOOKUP(G16,A:A,A:A)</f>
        <v>Das Ufer der Syrten</v>
      </c>
      <c r="J16" t="s">
        <v>1308</v>
      </c>
      <c r="K16" t="s">
        <v>1309</v>
      </c>
      <c r="L16" t="str" cm="1">
        <f t="array" ref="L16">SLOOKUP(K16,A:A,A:A)</f>
        <v/>
      </c>
      <c r="M16" t="str" cm="1">
        <f t="array" ref="M16">LLOOKUP(K16,A:A,A:A)</f>
        <v/>
      </c>
    </row>
    <row r="17" spans="1:13">
      <c r="A17" s="6" t="s">
        <v>554</v>
      </c>
      <c r="B17" t="s">
        <v>923</v>
      </c>
      <c r="C17" t="s">
        <v>924</v>
      </c>
      <c r="D17" t="str" cm="1">
        <f t="array" ref="D17">SLOOKUP(C17,A:A,A:A)</f>
        <v>Der Archipel Gulag</v>
      </c>
      <c r="E17" t="str" cm="1">
        <f t="array" ref="E17">LLOOKUP(C17,A:A,A:A)</f>
        <v>Der Archipel Gulag</v>
      </c>
      <c r="F17" t="s">
        <v>1116</v>
      </c>
      <c r="G17" t="s">
        <v>1117</v>
      </c>
      <c r="H17" t="str" cm="1">
        <f t="array" ref="H17">SLOOKUP(G17,A:A,A:A)</f>
        <v/>
      </c>
      <c r="I17" t="str" cm="1">
        <f t="array" ref="I17">LLOOKUP(G17,A:A,A:A)</f>
        <v>Der Archipel Gulag</v>
      </c>
      <c r="J17" t="s">
        <v>1310</v>
      </c>
      <c r="K17" t="s">
        <v>1311</v>
      </c>
      <c r="L17" t="str" cm="1">
        <f t="array" ref="L17">SLOOKUP(K17,A:A,A:A)</f>
        <v/>
      </c>
      <c r="M17" t="str" cm="1">
        <f t="array" ref="M17">LLOOKUP(K17,A:A,A:A)</f>
        <v/>
      </c>
    </row>
    <row r="18" spans="1:13">
      <c r="A18" s="6" t="s">
        <v>630</v>
      </c>
      <c r="B18" t="s">
        <v>925</v>
      </c>
      <c r="C18" t="s">
        <v>926</v>
      </c>
      <c r="D18" t="str" cm="1">
        <f t="array" ref="D18">SLOOKUP(C18,A:A,A:A)</f>
        <v>Der aufhaltsame Aufstieg des Arturo Ui</v>
      </c>
      <c r="E18" t="str" cm="1">
        <f t="array" ref="E18">LLOOKUP(C18,A:A,A:A)</f>
        <v>Der aufhaltsame Aufstieg des Arturo Ui</v>
      </c>
      <c r="F18" t="s">
        <v>1118</v>
      </c>
      <c r="G18" t="s">
        <v>1119</v>
      </c>
      <c r="H18" t="str" cm="1">
        <f t="array" ref="H18">SLOOKUP(G18,A:A,A:A)</f>
        <v/>
      </c>
      <c r="I18" t="str" cm="1">
        <f t="array" ref="I18">LLOOKUP(G18,A:A,A:A)</f>
        <v>Der aufhaltsame Aufstieg des Arturo Ui</v>
      </c>
      <c r="J18" t="s">
        <v>1312</v>
      </c>
      <c r="K18" t="s">
        <v>1313</v>
      </c>
      <c r="L18" t="str" cm="1">
        <f t="array" ref="L18">SLOOKUP(K18,A:A,A:A)</f>
        <v/>
      </c>
      <c r="M18" t="str" cm="1">
        <f t="array" ref="M18">LLOOKUP(K18,A:A,A:A)</f>
        <v>Der aufhaltsame Aufstieg des Arturo Ui</v>
      </c>
    </row>
    <row r="19" spans="1:13">
      <c r="A19" s="6" t="s">
        <v>560</v>
      </c>
      <c r="B19" t="s">
        <v>927</v>
      </c>
      <c r="C19" t="s">
        <v>928</v>
      </c>
      <c r="D19" t="str" cm="1">
        <f t="array" ref="D19">SLOOKUP(C19,A:A,A:A)</f>
        <v>Der Blaue Lotos</v>
      </c>
      <c r="E19" t="str" cm="1">
        <f t="array" ref="E19">LLOOKUP(C19,A:A,A:A)</f>
        <v>Der Blaue Lotos</v>
      </c>
      <c r="F19" t="s">
        <v>1120</v>
      </c>
      <c r="G19" t="s">
        <v>1121</v>
      </c>
      <c r="H19" t="str" cm="1">
        <f t="array" ref="H19">SLOOKUP(G19,A:A,A:A)</f>
        <v/>
      </c>
      <c r="I19" t="str" cm="1">
        <f t="array" ref="I19">LLOOKUP(G19,A:A,A:A)</f>
        <v>Der Blaue Lotos</v>
      </c>
      <c r="J19" t="s">
        <v>1314</v>
      </c>
      <c r="K19" t="s">
        <v>1315</v>
      </c>
      <c r="L19" t="str" cm="1">
        <f t="array" ref="L19">SLOOKUP(K19,A:A,A:A)</f>
        <v/>
      </c>
      <c r="M19" t="str" cm="1">
        <f t="array" ref="M19">LLOOKUP(K19,A:A,A:A)</f>
        <v>Der Blaue Lotos</v>
      </c>
    </row>
    <row r="20" spans="1:13">
      <c r="A20" s="6" t="s">
        <v>698</v>
      </c>
      <c r="B20" t="s">
        <v>929</v>
      </c>
      <c r="C20" t="s">
        <v>930</v>
      </c>
      <c r="D20" t="str" cm="1">
        <f t="array" ref="D20">SLOOKUP(C20,A:A,A:A)</f>
        <v>Der Fänger im Roggen</v>
      </c>
      <c r="E20" t="str" cm="1">
        <f t="array" ref="E20">LLOOKUP(C20,A:A,A:A)</f>
        <v>Der Fänger im Roggen</v>
      </c>
      <c r="F20" t="s">
        <v>1122</v>
      </c>
      <c r="G20" t="s">
        <v>1122</v>
      </c>
      <c r="H20" t="str" cm="1">
        <f t="array" ref="H20">SLOOKUP(G20,A:A,A:A)</f>
        <v/>
      </c>
      <c r="I20" t="str" cm="1">
        <f t="array" ref="I20">LLOOKUP(G20,A:A,A:A)</f>
        <v>Der Fänger im Roggen</v>
      </c>
      <c r="J20" t="s">
        <v>1316</v>
      </c>
      <c r="K20" t="s">
        <v>1317</v>
      </c>
      <c r="L20" t="str" cm="1">
        <f t="array" ref="L20">SLOOKUP(K20,A:A,A:A)</f>
        <v/>
      </c>
      <c r="M20" t="str" cm="1">
        <f t="array" ref="M20">LLOOKUP(K20,A:A,A:A)</f>
        <v>Der Fänger im Roggen</v>
      </c>
    </row>
    <row r="21" spans="1:13">
      <c r="A21" s="6" t="s">
        <v>526</v>
      </c>
      <c r="B21" t="s">
        <v>931</v>
      </c>
      <c r="C21" t="s">
        <v>932</v>
      </c>
      <c r="D21" t="str" cm="1">
        <f t="array" ref="D21">SLOOKUP(C21,A:A,A:A)</f>
        <v/>
      </c>
      <c r="E21" t="str" cm="1">
        <f t="array" ref="E21">LLOOKUP(C21,A:A,A:A)</f>
        <v>Der Fremde</v>
      </c>
      <c r="F21" t="s">
        <v>1123</v>
      </c>
      <c r="G21" t="s">
        <v>1124</v>
      </c>
      <c r="H21" t="str" cm="1">
        <f t="array" ref="H21">SLOOKUP(G21,A:A,A:A)</f>
        <v/>
      </c>
      <c r="I21" t="str" cm="1">
        <f t="array" ref="I21">LLOOKUP(G21,A:A,A:A)</f>
        <v/>
      </c>
      <c r="J21" t="s">
        <v>1318</v>
      </c>
      <c r="K21" t="s">
        <v>1319</v>
      </c>
      <c r="L21" t="str" cm="1">
        <f t="array" ref="L21">SLOOKUP(K21,A:A,A:A)</f>
        <v/>
      </c>
      <c r="M21" t="str" cm="1">
        <f t="array" ref="M21">LLOOKUP(K21,A:A,A:A)</f>
        <v/>
      </c>
    </row>
    <row r="22" spans="1:13">
      <c r="A22" s="6" t="s">
        <v>684</v>
      </c>
      <c r="B22" t="s">
        <v>933</v>
      </c>
      <c r="C22" t="s">
        <v>934</v>
      </c>
      <c r="D22" t="str" cm="1">
        <f t="array" ref="D22">SLOOKUP(C22,A:A,A:A)</f>
        <v>Der General der toten Armee</v>
      </c>
      <c r="E22" t="str" cm="1">
        <f t="array" ref="E22">LLOOKUP(C22,A:A,A:A)</f>
        <v>Der General der toten Armee</v>
      </c>
      <c r="F22" t="s">
        <v>1125</v>
      </c>
      <c r="G22" t="s">
        <v>1126</v>
      </c>
      <c r="H22" t="str" cm="1">
        <f t="array" ref="H22">SLOOKUP(G22,A:A,A:A)</f>
        <v>Der General der toten Armee</v>
      </c>
      <c r="I22" t="str" cm="1">
        <f t="array" ref="I22">LLOOKUP(G22,A:A,A:A)</f>
        <v>Der General der toten Armee</v>
      </c>
      <c r="J22" t="s">
        <v>1320</v>
      </c>
      <c r="K22" t="s">
        <v>1321</v>
      </c>
      <c r="L22" t="str" cm="1">
        <f t="array" ref="L22">SLOOKUP(K22,A:A,A:A)</f>
        <v/>
      </c>
      <c r="M22" t="str" cm="1">
        <f t="array" ref="M22">LLOOKUP(K22,A:A,A:A)</f>
        <v>Der General der toten Armee</v>
      </c>
    </row>
    <row r="23" spans="1:13">
      <c r="A23" s="6" t="s">
        <v>614</v>
      </c>
      <c r="B23" t="s">
        <v>935</v>
      </c>
      <c r="C23" t="s">
        <v>936</v>
      </c>
      <c r="D23" t="str" cm="1">
        <f t="array" ref="D23">SLOOKUP(C23,A:A,A:A)</f>
        <v/>
      </c>
      <c r="E23" t="str" cm="1">
        <f t="array" ref="E23">LLOOKUP(C23,A:A,A:A)</f>
        <v>Der große Gatsby</v>
      </c>
      <c r="F23" t="s">
        <v>1127</v>
      </c>
      <c r="G23" t="s">
        <v>1128</v>
      </c>
      <c r="H23" t="str" cm="1">
        <f t="array" ref="H23">SLOOKUP(G23,A:A,A:A)</f>
        <v/>
      </c>
      <c r="I23" t="str" cm="1">
        <f t="array" ref="I23">LLOOKUP(G23,A:A,A:A)</f>
        <v>Der große Gatsby</v>
      </c>
      <c r="J23" t="s">
        <v>1322</v>
      </c>
      <c r="K23" t="s">
        <v>1323</v>
      </c>
      <c r="L23" t="str" cm="1">
        <f t="array" ref="L23">SLOOKUP(K23,A:A,A:A)</f>
        <v/>
      </c>
      <c r="M23" t="str" cm="1">
        <f t="array" ref="M23">LLOOKUP(K23,A:A,A:A)</f>
        <v/>
      </c>
    </row>
    <row r="24" spans="1:13">
      <c r="A24" s="6" t="s">
        <v>542</v>
      </c>
      <c r="B24" t="s">
        <v>937</v>
      </c>
      <c r="C24" t="s">
        <v>938</v>
      </c>
      <c r="D24" t="str" cm="1">
        <f t="array" ref="D24">SLOOKUP(C24,A:A,A:A)</f>
        <v/>
      </c>
      <c r="E24" t="str" cm="1">
        <f t="array" ref="E24">LLOOKUP(C24,A:A,A:A)</f>
        <v>Der große Meaulnes</v>
      </c>
      <c r="F24" t="s">
        <v>1129</v>
      </c>
      <c r="G24" t="s">
        <v>1130</v>
      </c>
      <c r="H24" t="str" cm="1">
        <f t="array" ref="H24">SLOOKUP(G24,A:A,A:A)</f>
        <v/>
      </c>
      <c r="I24" t="str" cm="1">
        <f t="array" ref="I24">LLOOKUP(G24,A:A,A:A)</f>
        <v>Der große Meaulnes</v>
      </c>
      <c r="J24" t="s">
        <v>1324</v>
      </c>
      <c r="K24" t="s">
        <v>1325</v>
      </c>
      <c r="L24" t="str" cm="1">
        <f t="array" ref="L24">SLOOKUP(K24,A:A,A:A)</f>
        <v/>
      </c>
      <c r="M24" t="str" cm="1">
        <f t="array" ref="M24">LLOOKUP(K24,A:A,A:A)</f>
        <v/>
      </c>
    </row>
    <row r="25" spans="1:13">
      <c r="A25" s="6" t="s">
        <v>713</v>
      </c>
      <c r="B25" t="s">
        <v>939</v>
      </c>
      <c r="C25" t="s">
        <v>940</v>
      </c>
      <c r="D25" t="str" cm="1">
        <f t="array" ref="D25">SLOOKUP(C25,A:A,A:A)</f>
        <v>Der große Schlaf</v>
      </c>
      <c r="E25" t="str" cm="1">
        <f t="array" ref="E25">LLOOKUP(C25,A:A,A:A)</f>
        <v>Der große Schlaf</v>
      </c>
      <c r="F25" t="s">
        <v>1131</v>
      </c>
      <c r="G25" t="s">
        <v>1132</v>
      </c>
      <c r="H25" t="str" cm="1">
        <f t="array" ref="H25">SLOOKUP(G25,A:A,A:A)</f>
        <v/>
      </c>
      <c r="I25" t="str" cm="1">
        <f t="array" ref="I25">LLOOKUP(G25,A:A,A:A)</f>
        <v>Der große Schlaf</v>
      </c>
      <c r="J25" t="s">
        <v>1326</v>
      </c>
      <c r="K25" t="s">
        <v>1327</v>
      </c>
      <c r="L25" t="str" cm="1">
        <f t="array" ref="L25">SLOOKUP(K25,A:A,A:A)</f>
        <v/>
      </c>
      <c r="M25" t="str" cm="1">
        <f t="array" ref="M25">LLOOKUP(K25,A:A,A:A)</f>
        <v/>
      </c>
    </row>
    <row r="26" spans="1:13">
      <c r="A26" s="6" t="s">
        <v>638</v>
      </c>
      <c r="B26" t="s">
        <v>941</v>
      </c>
      <c r="C26" t="s">
        <v>942</v>
      </c>
      <c r="D26" t="str" cm="1">
        <f t="array" ref="D26">SLOOKUP(C26,A:A,A:A)</f>
        <v/>
      </c>
      <c r="E26" t="str" cm="1">
        <f t="array" ref="E26">LLOOKUP(C26,A:A,A:A)</f>
        <v>Der Herr der Ringe</v>
      </c>
      <c r="F26" t="s">
        <v>1133</v>
      </c>
      <c r="G26" t="s">
        <v>1134</v>
      </c>
      <c r="H26" t="str" cm="1">
        <f t="array" ref="H26">SLOOKUP(G26,A:A,A:A)</f>
        <v/>
      </c>
      <c r="I26" t="str" cm="1">
        <f t="array" ref="I26">LLOOKUP(G26,A:A,A:A)</f>
        <v>Der Herr der Ringe</v>
      </c>
      <c r="J26" t="s">
        <v>1328</v>
      </c>
      <c r="K26" t="s">
        <v>1329</v>
      </c>
      <c r="L26" t="str" cm="1">
        <f t="array" ref="L26">SLOOKUP(K26,A:A,A:A)</f>
        <v/>
      </c>
      <c r="M26" t="str" cm="1">
        <f t="array" ref="M26">LLOOKUP(K26,A:A,A:A)</f>
        <v/>
      </c>
    </row>
    <row r="27" spans="1:13">
      <c r="A27" s="6" t="s">
        <v>610</v>
      </c>
      <c r="B27" t="s">
        <v>943</v>
      </c>
      <c r="C27" t="s">
        <v>944</v>
      </c>
      <c r="D27" t="str" cm="1">
        <f t="array" ref="D27">SLOOKUP(C27,A:A,A:A)</f>
        <v>Der Hund von Baskerville</v>
      </c>
      <c r="E27" t="str" cm="1">
        <f t="array" ref="E27">LLOOKUP(C27,A:A,A:A)</f>
        <v>Der Hund von Baskerville</v>
      </c>
      <c r="F27" t="s">
        <v>1135</v>
      </c>
      <c r="G27" t="s">
        <v>1136</v>
      </c>
      <c r="H27" t="str" cm="1">
        <f t="array" ref="H27">SLOOKUP(G27,A:A,A:A)</f>
        <v/>
      </c>
      <c r="I27" t="str" cm="1">
        <f t="array" ref="I27">LLOOKUP(G27,A:A,A:A)</f>
        <v>Der Hund von Baskerville</v>
      </c>
      <c r="J27" t="s">
        <v>1330</v>
      </c>
      <c r="K27" t="s">
        <v>1331</v>
      </c>
      <c r="L27" t="str" cm="1">
        <f t="array" ref="L27">SLOOKUP(K27,A:A,A:A)</f>
        <v/>
      </c>
      <c r="M27" t="str" cm="1">
        <f t="array" ref="M27">LLOOKUP(K27,A:A,A:A)</f>
        <v>Der Hund von Baskerville</v>
      </c>
    </row>
    <row r="28" spans="1:13">
      <c r="A28" s="6" t="s">
        <v>584</v>
      </c>
      <c r="B28" t="s">
        <v>945</v>
      </c>
      <c r="C28" t="s">
        <v>946</v>
      </c>
      <c r="D28" t="str" cm="1">
        <f t="array" ref="D28">SLOOKUP(C28,A:A,A:A)</f>
        <v>Der Husar auf dem Dach</v>
      </c>
      <c r="E28" t="str" cm="1">
        <f t="array" ref="E28">LLOOKUP(C28,A:A,A:A)</f>
        <v>Der Husar auf dem Dach</v>
      </c>
      <c r="F28" t="s">
        <v>1137</v>
      </c>
      <c r="G28" t="s">
        <v>1138</v>
      </c>
      <c r="H28" t="str" cm="1">
        <f t="array" ref="H28">SLOOKUP(G28,A:A,A:A)</f>
        <v/>
      </c>
      <c r="I28" t="str" cm="1">
        <f t="array" ref="I28">LLOOKUP(G28,A:A,A:A)</f>
        <v>Der Husar auf dem Dach</v>
      </c>
      <c r="J28" t="s">
        <v>1332</v>
      </c>
      <c r="K28" t="s">
        <v>1333</v>
      </c>
      <c r="L28" t="str" cm="1">
        <f t="array" ref="L28">SLOOKUP(K28,A:A,A:A)</f>
        <v/>
      </c>
      <c r="M28" t="str" cm="1">
        <f t="array" ref="M28">LLOOKUP(K28,A:A,A:A)</f>
        <v/>
      </c>
    </row>
    <row r="29" spans="1:13">
      <c r="A29" s="6" t="s">
        <v>532</v>
      </c>
      <c r="B29" t="s">
        <v>947</v>
      </c>
      <c r="C29" t="s">
        <v>948</v>
      </c>
      <c r="D29" t="str" cm="1">
        <f t="array" ref="D29">SLOOKUP(C29,A:A,A:A)</f>
        <v/>
      </c>
      <c r="E29" t="str" cm="1">
        <f t="array" ref="E29">LLOOKUP(C29,A:A,A:A)</f>
        <v>Der kleine Prinz</v>
      </c>
      <c r="F29" t="s">
        <v>1139</v>
      </c>
      <c r="G29" t="s">
        <v>1140</v>
      </c>
      <c r="H29" t="str" cm="1">
        <f t="array" ref="H29">SLOOKUP(G29,A:A,A:A)</f>
        <v/>
      </c>
      <c r="I29" t="str" cm="1">
        <f t="array" ref="I29">LLOOKUP(G29,A:A,A:A)</f>
        <v>Der kleine Prinz</v>
      </c>
      <c r="J29" t="s">
        <v>1334</v>
      </c>
      <c r="K29" t="s">
        <v>1335</v>
      </c>
      <c r="L29" t="str" cm="1">
        <f t="array" ref="L29">SLOOKUP(K29,A:A,A:A)</f>
        <v/>
      </c>
      <c r="M29" t="str" cm="1">
        <f t="array" ref="M29">LLOOKUP(K29,A:A,A:A)</f>
        <v/>
      </c>
    </row>
    <row r="30" spans="1:13">
      <c r="A30" s="6" t="s">
        <v>634</v>
      </c>
      <c r="B30" t="s">
        <v>949</v>
      </c>
      <c r="C30" t="s">
        <v>950</v>
      </c>
      <c r="D30" t="str" cm="1">
        <f t="array" ref="D30">SLOOKUP(C30,A:A,A:A)</f>
        <v>Der Krieg der Welten</v>
      </c>
      <c r="E30" t="str" cm="1">
        <f t="array" ref="E30">LLOOKUP(C30,A:A,A:A)</f>
        <v>Der Krieg der Welten</v>
      </c>
      <c r="F30" t="s">
        <v>1141</v>
      </c>
      <c r="G30" t="s">
        <v>1142</v>
      </c>
      <c r="H30" t="str" cm="1">
        <f t="array" ref="H30">SLOOKUP(G30,A:A,A:A)</f>
        <v/>
      </c>
      <c r="I30" t="str" cm="1">
        <f t="array" ref="I30">LLOOKUP(G30,A:A,A:A)</f>
        <v>Der Krieg der Welten</v>
      </c>
      <c r="J30" t="s">
        <v>1336</v>
      </c>
      <c r="K30" t="s">
        <v>1337</v>
      </c>
      <c r="L30" t="str" cm="1">
        <f t="array" ref="L30">SLOOKUP(K30,A:A,A:A)</f>
        <v/>
      </c>
      <c r="M30" t="str" cm="1">
        <f t="array" ref="M30">LLOOKUP(K30,A:A,A:A)</f>
        <v>Der Krieg der Welten</v>
      </c>
    </row>
    <row r="31" spans="1:13">
      <c r="A31" s="6" t="s">
        <v>694</v>
      </c>
      <c r="B31" t="s">
        <v>951</v>
      </c>
      <c r="C31" t="s">
        <v>952</v>
      </c>
      <c r="D31" t="str" cm="1">
        <f t="array" ref="D31">SLOOKUP(C31,A:A,A:A)</f>
        <v>Der Mann ohne Eigenschaften</v>
      </c>
      <c r="E31" t="str" cm="1">
        <f t="array" ref="E31">LLOOKUP(C31,A:A,A:A)</f>
        <v>Der Mann ohne Eigenschaften</v>
      </c>
      <c r="F31" t="s">
        <v>1143</v>
      </c>
      <c r="G31" t="s">
        <v>1144</v>
      </c>
      <c r="H31" t="str" cm="1">
        <f t="array" ref="H31">SLOOKUP(G31,A:A,A:A)</f>
        <v/>
      </c>
      <c r="I31" t="str" cm="1">
        <f t="array" ref="I31">LLOOKUP(G31,A:A,A:A)</f>
        <v>Der Mann ohne Eigenschaften</v>
      </c>
      <c r="J31" t="s">
        <v>1338</v>
      </c>
      <c r="K31" t="s">
        <v>1339</v>
      </c>
      <c r="L31" t="str" cm="1">
        <f t="array" ref="L31">SLOOKUP(K31,A:A,A:A)</f>
        <v/>
      </c>
      <c r="M31" t="str" cm="1">
        <f t="array" ref="M31">LLOOKUP(K31,A:A,A:A)</f>
        <v>Der Mann ohne Eigenschaften</v>
      </c>
    </row>
    <row r="32" spans="1:13">
      <c r="A32" s="6" t="s">
        <v>710</v>
      </c>
      <c r="B32" t="s">
        <v>953</v>
      </c>
      <c r="C32" t="s">
        <v>710</v>
      </c>
      <c r="D32" t="str" cm="1">
        <f t="array" ref="D32">SLOOKUP(C32,A:A,A:A)</f>
        <v>Der Meister und Margarita</v>
      </c>
      <c r="E32" t="str" cm="1">
        <f t="array" ref="E32">LLOOKUP(C32,A:A,A:A)</f>
        <v>Der Meister und Margarita</v>
      </c>
      <c r="F32" t="s">
        <v>1145</v>
      </c>
      <c r="G32" t="s">
        <v>1146</v>
      </c>
      <c r="H32" t="str" cm="1">
        <f t="array" ref="H32">SLOOKUP(G32,A:A,A:A)</f>
        <v/>
      </c>
      <c r="I32" t="str" cm="1">
        <f t="array" ref="I32">LLOOKUP(G32,A:A,A:A)</f>
        <v>Der Meister und Margarita</v>
      </c>
      <c r="J32" t="s">
        <v>1340</v>
      </c>
      <c r="K32" t="s">
        <v>1341</v>
      </c>
      <c r="L32" t="str" cm="1">
        <f t="array" ref="L32">SLOOKUP(K32,A:A,A:A)</f>
        <v/>
      </c>
      <c r="M32" t="str" cm="1">
        <f t="array" ref="M32">LLOOKUP(K32,A:A,A:A)</f>
        <v>Der Meister und Margarita</v>
      </c>
    </row>
    <row r="33" spans="1:13">
      <c r="A33" s="6" t="s">
        <v>552</v>
      </c>
      <c r="B33" t="s">
        <v>954</v>
      </c>
      <c r="C33" t="s">
        <v>955</v>
      </c>
      <c r="D33" t="str" cm="1">
        <f t="array" ref="D33">SLOOKUP(C33,A:A,A:A)</f>
        <v>Der Name der Rose</v>
      </c>
      <c r="E33" t="str" cm="1">
        <f t="array" ref="E33">LLOOKUP(C33,A:A,A:A)</f>
        <v>Der Name der Rose</v>
      </c>
      <c r="F33" t="s">
        <v>1147</v>
      </c>
      <c r="G33" t="s">
        <v>1148</v>
      </c>
      <c r="H33" t="str" cm="1">
        <f t="array" ref="H33">SLOOKUP(G33,A:A,A:A)</f>
        <v/>
      </c>
      <c r="I33" t="str" cm="1">
        <f t="array" ref="I33">LLOOKUP(G33,A:A,A:A)</f>
        <v>Der Name der Rose</v>
      </c>
      <c r="J33" t="s">
        <v>1342</v>
      </c>
      <c r="K33" t="s">
        <v>1343</v>
      </c>
      <c r="L33" t="str" cm="1">
        <f t="array" ref="L33">SLOOKUP(K33,A:A,A:A)</f>
        <v/>
      </c>
      <c r="M33" t="str" cm="1">
        <f t="array" ref="M33">LLOOKUP(K33,A:A,A:A)</f>
        <v/>
      </c>
    </row>
    <row r="34" spans="1:13">
      <c r="A34" s="6" t="s">
        <v>530</v>
      </c>
      <c r="B34" t="s">
        <v>956</v>
      </c>
      <c r="C34" t="s">
        <v>957</v>
      </c>
      <c r="D34" t="str" cm="1">
        <f t="array" ref="D34">SLOOKUP(C34,A:A,A:A)</f>
        <v>Der Prozess</v>
      </c>
      <c r="E34" t="str" cm="1">
        <f t="array" ref="E34">LLOOKUP(C34,A:A,A:A)</f>
        <v>Der Prozess</v>
      </c>
      <c r="F34" t="s">
        <v>1149</v>
      </c>
      <c r="G34" t="s">
        <v>1150</v>
      </c>
      <c r="H34" t="str" cm="1">
        <f t="array" ref="H34">SLOOKUP(G34,A:A,A:A)</f>
        <v/>
      </c>
      <c r="I34" t="str" cm="1">
        <f t="array" ref="I34">LLOOKUP(G34,A:A,A:A)</f>
        <v/>
      </c>
      <c r="J34" t="s">
        <v>1344</v>
      </c>
      <c r="K34" t="s">
        <v>1345</v>
      </c>
      <c r="L34" t="str" cm="1">
        <f t="array" ref="L34">SLOOKUP(K34,A:A,A:A)</f>
        <v/>
      </c>
      <c r="M34" t="str" cm="1">
        <f t="array" ref="M34">LLOOKUP(K34,A:A,A:A)</f>
        <v/>
      </c>
    </row>
    <row r="35" spans="1:13">
      <c r="A35" s="6" t="s">
        <v>544</v>
      </c>
      <c r="B35" t="s">
        <v>958</v>
      </c>
      <c r="C35" t="s">
        <v>959</v>
      </c>
      <c r="D35" t="str" cm="1">
        <f t="array" ref="D35">SLOOKUP(C35,A:A,A:A)</f>
        <v>Der Schaum der Tage</v>
      </c>
      <c r="E35" t="str" cm="1">
        <f t="array" ref="E35">LLOOKUP(C35,A:A,A:A)</f>
        <v>Der Schaum der Tage</v>
      </c>
      <c r="F35" t="s">
        <v>1151</v>
      </c>
      <c r="G35" t="s">
        <v>1152</v>
      </c>
      <c r="H35" t="str" cm="1">
        <f t="array" ref="H35">SLOOKUP(G35,A:A,A:A)</f>
        <v>Der Schaum der Tage</v>
      </c>
      <c r="I35" t="str" cm="1">
        <f t="array" ref="I35">LLOOKUP(G35,A:A,A:A)</f>
        <v>Der Schaum der Tage</v>
      </c>
      <c r="J35" t="s">
        <v>1346</v>
      </c>
      <c r="K35" t="s">
        <v>1347</v>
      </c>
      <c r="L35" t="str" cm="1">
        <f t="array" ref="L35">SLOOKUP(K35,A:A,A:A)</f>
        <v/>
      </c>
      <c r="M35" t="str" cm="1">
        <f t="array" ref="M35">LLOOKUP(K35,A:A,A:A)</f>
        <v/>
      </c>
    </row>
    <row r="36" spans="1:13">
      <c r="A36" s="6" t="s">
        <v>616</v>
      </c>
      <c r="B36" t="s">
        <v>960</v>
      </c>
      <c r="C36" t="s">
        <v>961</v>
      </c>
      <c r="D36" t="str" cm="1">
        <f t="array" ref="D36">SLOOKUP(C36,A:A,A:A)</f>
        <v/>
      </c>
      <c r="E36" t="str" cm="1">
        <f t="array" ref="E36">LLOOKUP(C36,A:A,A:A)</f>
        <v>Der Scherz</v>
      </c>
      <c r="F36" t="s">
        <v>1153</v>
      </c>
      <c r="G36" t="s">
        <v>1154</v>
      </c>
      <c r="H36" t="str" cm="1">
        <f t="array" ref="H36">SLOOKUP(G36,A:A,A:A)</f>
        <v/>
      </c>
      <c r="I36" t="str" cm="1">
        <f t="array" ref="I36">LLOOKUP(G36,A:A,A:A)</f>
        <v/>
      </c>
      <c r="J36" t="s">
        <v>1348</v>
      </c>
      <c r="K36" t="s">
        <v>1349</v>
      </c>
      <c r="L36" t="str" cm="1">
        <f t="array" ref="L36">SLOOKUP(K36,A:A,A:A)</f>
        <v/>
      </c>
      <c r="M36" t="str" cm="1">
        <f t="array" ref="M36">LLOOKUP(K36,A:A,A:A)</f>
        <v/>
      </c>
    </row>
    <row r="37" spans="1:13">
      <c r="A37" s="6" t="s">
        <v>626</v>
      </c>
      <c r="B37" t="s">
        <v>962</v>
      </c>
      <c r="C37" t="s">
        <v>963</v>
      </c>
      <c r="D37" t="str" cm="1">
        <f t="array" ref="D37">SLOOKUP(C37,A:A,A:A)</f>
        <v>Der seidene Schuh</v>
      </c>
      <c r="E37" t="str" cm="1">
        <f t="array" ref="E37">LLOOKUP(C37,A:A,A:A)</f>
        <v>Der seidene Schuh</v>
      </c>
      <c r="F37" t="s">
        <v>1155</v>
      </c>
      <c r="G37" t="s">
        <v>1156</v>
      </c>
      <c r="H37" t="str" cm="1">
        <f t="array" ref="H37">SLOOKUP(G37,A:A,A:A)</f>
        <v>Der seidene Schuh</v>
      </c>
      <c r="I37" t="str" cm="1">
        <f t="array" ref="I37">LLOOKUP(G37,A:A,A:A)</f>
        <v>Der seidene Schuh</v>
      </c>
      <c r="J37" t="s">
        <v>1350</v>
      </c>
      <c r="K37" t="s">
        <v>1351</v>
      </c>
      <c r="L37" t="str" cm="1">
        <f t="array" ref="L37">SLOOKUP(K37,A:A,A:A)</f>
        <v/>
      </c>
      <c r="M37" t="str" cm="1">
        <f t="array" ref="M37">LLOOKUP(K37,A:A,A:A)</f>
        <v/>
      </c>
    </row>
    <row r="38" spans="1:13">
      <c r="A38" s="6" t="s">
        <v>602</v>
      </c>
      <c r="B38" t="s">
        <v>964</v>
      </c>
      <c r="C38" t="s">
        <v>965</v>
      </c>
      <c r="D38" t="str" cm="1">
        <f t="array" ref="D38">SLOOKUP(C38,A:A,A:A)</f>
        <v>Der Zauberberg</v>
      </c>
      <c r="E38" t="str" cm="1">
        <f t="array" ref="E38">LLOOKUP(C38,A:A,A:A)</f>
        <v>Der Zauberberg</v>
      </c>
      <c r="F38" t="s">
        <v>1157</v>
      </c>
      <c r="G38" t="s">
        <v>1158</v>
      </c>
      <c r="H38" t="str" cm="1">
        <f t="array" ref="H38">SLOOKUP(G38,A:A,A:A)</f>
        <v/>
      </c>
      <c r="I38" t="str" cm="1">
        <f t="array" ref="I38">LLOOKUP(G38,A:A,A:A)</f>
        <v>Der Zauberberg</v>
      </c>
      <c r="J38" t="s">
        <v>1352</v>
      </c>
      <c r="K38" t="s">
        <v>1353</v>
      </c>
      <c r="L38" t="str" cm="1">
        <f t="array" ref="L38">SLOOKUP(K38,A:A,A:A)</f>
        <v/>
      </c>
      <c r="M38" t="str" cm="1">
        <f t="array" ref="M38">LLOOKUP(K38,A:A,A:A)</f>
        <v/>
      </c>
    </row>
    <row r="39" spans="1:13">
      <c r="A39" s="6" t="s">
        <v>702</v>
      </c>
      <c r="B39" t="s">
        <v>966</v>
      </c>
      <c r="C39" t="s">
        <v>967</v>
      </c>
      <c r="D39" t="str" cm="1">
        <f t="array" ref="D39">SLOOKUP(C39,A:A,A:A)</f>
        <v>Die Abenteuer von Blake und Mortimer</v>
      </c>
      <c r="E39" t="str" cm="1">
        <f t="array" ref="E39">LLOOKUP(C39,A:A,A:A)</f>
        <v>Die Abenteuer von Blake und Mortimer</v>
      </c>
      <c r="F39" t="s">
        <v>1159</v>
      </c>
      <c r="G39" t="s">
        <v>1160</v>
      </c>
      <c r="H39" t="str" cm="1">
        <f t="array" ref="H39">SLOOKUP(G39,A:A,A:A)</f>
        <v>Die Abenteuer von Blake und Mortimer</v>
      </c>
      <c r="I39" t="str" cm="1">
        <f t="array" ref="I39">LLOOKUP(G39,A:A,A:A)</f>
        <v>Die Abenteuer von Blake und Mortimer</v>
      </c>
      <c r="J39" t="s">
        <v>1354</v>
      </c>
      <c r="K39" t="s">
        <v>1355</v>
      </c>
      <c r="L39" t="str" cm="1">
        <f t="array" ref="L39">SLOOKUP(K39,A:A,A:A)</f>
        <v/>
      </c>
      <c r="M39" t="str" cm="1">
        <f t="array" ref="M39">LLOOKUP(K39,A:A,A:A)</f>
        <v>Die Abenteuer von Blake und Mortimer</v>
      </c>
    </row>
    <row r="40" spans="1:13">
      <c r="A40" s="6" t="s">
        <v>704</v>
      </c>
      <c r="B40" t="s">
        <v>968</v>
      </c>
      <c r="C40" t="s">
        <v>969</v>
      </c>
      <c r="D40" t="str" cm="1">
        <f t="array" ref="D40">SLOOKUP(C40,A:A,A:A)</f>
        <v>Die Aufzeichnungen des Malte Laurids Brigge</v>
      </c>
      <c r="E40" t="str" cm="1">
        <f t="array" ref="E40">LLOOKUP(C40,A:A,A:A)</f>
        <v>Die Aufzeichnungen des Malte Laurids Brigge</v>
      </c>
      <c r="F40" t="s">
        <v>1161</v>
      </c>
      <c r="G40" t="s">
        <v>1162</v>
      </c>
      <c r="H40" t="str" cm="1">
        <f t="array" ref="H40">SLOOKUP(G40,A:A,A:A)</f>
        <v/>
      </c>
      <c r="I40" t="str" cm="1">
        <f t="array" ref="I40">LLOOKUP(G40,A:A,A:A)</f>
        <v>Die Aufzeichnungen des Malte Laurids Brigge</v>
      </c>
      <c r="J40" t="s">
        <v>1356</v>
      </c>
      <c r="K40" t="s">
        <v>1357</v>
      </c>
      <c r="L40" t="str" cm="1">
        <f t="array" ref="L40">SLOOKUP(K40,A:A,A:A)</f>
        <v/>
      </c>
      <c r="M40" t="str" cm="1">
        <f t="array" ref="M40">LLOOKUP(K40,A:A,A:A)</f>
        <v>Die Aufzeichnungen des Malte Laurids Brigge</v>
      </c>
    </row>
    <row r="41" spans="1:13">
      <c r="A41" s="6" t="s">
        <v>582</v>
      </c>
      <c r="B41" t="s">
        <v>970</v>
      </c>
      <c r="C41" t="s">
        <v>971</v>
      </c>
      <c r="D41" t="str" cm="1">
        <f t="array" ref="D41">SLOOKUP(C41,A:A,A:A)</f>
        <v/>
      </c>
      <c r="E41" t="str" cm="1">
        <f t="array" ref="E41">LLOOKUP(C41,A:A,A:A)</f>
        <v>Die Falschmünzer</v>
      </c>
      <c r="F41" t="s">
        <v>1163</v>
      </c>
      <c r="G41" t="s">
        <v>1164</v>
      </c>
      <c r="H41" t="str" cm="1">
        <f t="array" ref="H41">SLOOKUP(G41,A:A,A:A)</f>
        <v/>
      </c>
      <c r="I41" t="str" cm="1">
        <f t="array" ref="I41">LLOOKUP(G41,A:A,A:A)</f>
        <v>Die Falschmünzer</v>
      </c>
      <c r="J41" t="s">
        <v>1358</v>
      </c>
      <c r="K41" t="s">
        <v>1359</v>
      </c>
      <c r="L41" t="str" cm="1">
        <f t="array" ref="L41">SLOOKUP(K41,A:A,A:A)</f>
        <v/>
      </c>
      <c r="M41" t="str" cm="1">
        <f t="array" ref="M41">LLOOKUP(K41,A:A,A:A)</f>
        <v/>
      </c>
    </row>
    <row r="42" spans="1:13">
      <c r="A42" s="6" t="s">
        <v>570</v>
      </c>
      <c r="B42" t="s">
        <v>972</v>
      </c>
      <c r="C42" t="s">
        <v>973</v>
      </c>
      <c r="D42" t="str" cm="1">
        <f t="array" ref="D42">SLOOKUP(C42,A:A,A:A)</f>
        <v>Die kahle Sängerin</v>
      </c>
      <c r="E42" t="str" cm="1">
        <f t="array" ref="E42">LLOOKUP(C42,A:A,A:A)</f>
        <v>Die kahle Sängerin</v>
      </c>
      <c r="F42" t="s">
        <v>1165</v>
      </c>
      <c r="G42" t="s">
        <v>1166</v>
      </c>
      <c r="H42" t="str" cm="1">
        <f t="array" ref="H42">SLOOKUP(G42,A:A,A:A)</f>
        <v/>
      </c>
      <c r="I42" t="str" cm="1">
        <f t="array" ref="I42">LLOOKUP(G42,A:A,A:A)</f>
        <v>Die kahle Sängerin</v>
      </c>
      <c r="J42" t="s">
        <v>1360</v>
      </c>
      <c r="K42" t="s">
        <v>1360</v>
      </c>
      <c r="L42" t="str" cm="1">
        <f t="array" ref="L42">SLOOKUP(K42,A:A,A:A)</f>
        <v/>
      </c>
      <c r="M42" t="str" cm="1">
        <f t="array" ref="M42">LLOOKUP(K42,A:A,A:A)</f>
        <v>Die kahle Sängerin</v>
      </c>
    </row>
    <row r="43" spans="1:13">
      <c r="A43" s="6" t="s">
        <v>662</v>
      </c>
      <c r="B43" t="s">
        <v>974</v>
      </c>
      <c r="C43" t="s">
        <v>975</v>
      </c>
      <c r="D43" t="str" cm="1">
        <f t="array" ref="D43">SLOOKUP(C43,A:A,A:A)</f>
        <v>Die Mars-Chroniken</v>
      </c>
      <c r="E43" t="str" cm="1">
        <f t="array" ref="E43">LLOOKUP(C43,A:A,A:A)</f>
        <v>Die Mars-Chroniken</v>
      </c>
      <c r="F43" t="s">
        <v>1167</v>
      </c>
      <c r="G43" t="s">
        <v>1168</v>
      </c>
      <c r="H43" t="str" cm="1">
        <f t="array" ref="H43">SLOOKUP(G43,A:A,A:A)</f>
        <v/>
      </c>
      <c r="I43" t="str" cm="1">
        <f t="array" ref="I43">LLOOKUP(G43,A:A,A:A)</f>
        <v>Die Mars-Chroniken</v>
      </c>
      <c r="J43" t="s">
        <v>1361</v>
      </c>
      <c r="K43" t="s">
        <v>1362</v>
      </c>
      <c r="L43" t="str" cm="1">
        <f t="array" ref="L43">SLOOKUP(K43,A:A,A:A)</f>
        <v/>
      </c>
      <c r="M43" t="str" cm="1">
        <f t="array" ref="M43">LLOOKUP(K43,A:A,A:A)</f>
        <v/>
      </c>
    </row>
    <row r="44" spans="1:13">
      <c r="A44" s="6" t="s">
        <v>654</v>
      </c>
      <c r="B44" t="s">
        <v>976</v>
      </c>
      <c r="C44" t="s">
        <v>977</v>
      </c>
      <c r="D44" t="str" cm="1">
        <f t="array" ref="D44">SLOOKUP(C44,A:A,A:A)</f>
        <v>Die Ordnung der Dinge</v>
      </c>
      <c r="E44" t="str" cm="1">
        <f t="array" ref="E44">LLOOKUP(C44,A:A,A:A)</f>
        <v>Die Ordnung der Dinge</v>
      </c>
      <c r="F44" t="s">
        <v>1169</v>
      </c>
      <c r="G44" t="s">
        <v>1170</v>
      </c>
      <c r="H44" t="str" cm="1">
        <f t="array" ref="H44">SLOOKUP(G44,A:A,A:A)</f>
        <v/>
      </c>
      <c r="I44" t="str" cm="1">
        <f t="array" ref="I44">LLOOKUP(G44,A:A,A:A)</f>
        <v>Die Ordnung der Dinge</v>
      </c>
      <c r="J44" t="s">
        <v>1363</v>
      </c>
      <c r="K44" t="s">
        <v>1364</v>
      </c>
      <c r="L44" t="str" cm="1">
        <f t="array" ref="L44">SLOOKUP(K44,A:A,A:A)</f>
        <v/>
      </c>
      <c r="M44" t="str" cm="1">
        <f t="array" ref="M44">LLOOKUP(K44,A:A,A:A)</f>
        <v/>
      </c>
    </row>
    <row r="45" spans="1:13">
      <c r="A45" s="6" t="s">
        <v>586</v>
      </c>
      <c r="B45" t="s">
        <v>978</v>
      </c>
      <c r="C45" t="s">
        <v>979</v>
      </c>
      <c r="D45" t="str" cm="1">
        <f t="array" ref="D45">SLOOKUP(C45,A:A,A:A)</f>
        <v>Die Schöne des Herrn</v>
      </c>
      <c r="E45" t="str" cm="1">
        <f t="array" ref="E45">LLOOKUP(C45,A:A,A:A)</f>
        <v>Die Schöne des Herrn</v>
      </c>
      <c r="F45" t="s">
        <v>1171</v>
      </c>
      <c r="G45" t="s">
        <v>1172</v>
      </c>
      <c r="H45" t="str" cm="1">
        <f t="array" ref="H45">SLOOKUP(G45,A:A,A:A)</f>
        <v>Die Schöne des Herrn</v>
      </c>
      <c r="I45" t="str" cm="1">
        <f t="array" ref="I45">LLOOKUP(G45,A:A,A:A)</f>
        <v>Die Schöne des Herrn</v>
      </c>
      <c r="J45" t="s">
        <v>1365</v>
      </c>
      <c r="K45" t="s">
        <v>1366</v>
      </c>
      <c r="L45" t="str" cm="1">
        <f t="array" ref="L45">SLOOKUP(K45,A:A,A:A)</f>
        <v/>
      </c>
      <c r="M45" t="str" cm="1">
        <f t="array" ref="M45">LLOOKUP(K45,A:A,A:A)</f>
        <v>Die Schöne des Herrn</v>
      </c>
    </row>
    <row r="46" spans="1:13">
      <c r="A46" s="6" t="s">
        <v>574</v>
      </c>
      <c r="B46" t="s">
        <v>980</v>
      </c>
      <c r="C46" t="s">
        <v>981</v>
      </c>
      <c r="D46" t="str" cm="1">
        <f t="array" ref="D46">SLOOKUP(C46,A:A,A:A)</f>
        <v>Die schwarze Flamme</v>
      </c>
      <c r="E46" t="str" cm="1">
        <f t="array" ref="E46">LLOOKUP(C46,A:A,A:A)</f>
        <v>Die schwarze Flamme</v>
      </c>
      <c r="F46" t="s">
        <v>1173</v>
      </c>
      <c r="G46" t="s">
        <v>1174</v>
      </c>
      <c r="H46" t="str" cm="1">
        <f t="array" ref="H46">SLOOKUP(G46,A:A,A:A)</f>
        <v/>
      </c>
      <c r="I46" t="str" cm="1">
        <f t="array" ref="I46">LLOOKUP(G46,A:A,A:A)</f>
        <v>Die schwarze Flamme</v>
      </c>
      <c r="J46" t="s">
        <v>1367</v>
      </c>
      <c r="K46" t="s">
        <v>1368</v>
      </c>
      <c r="L46" t="str" cm="1">
        <f t="array" ref="L46">SLOOKUP(K46,A:A,A:A)</f>
        <v/>
      </c>
      <c r="M46" t="str" cm="1">
        <f t="array" ref="M46">LLOOKUP(K46,A:A,A:A)</f>
        <v/>
      </c>
    </row>
    <row r="47" spans="1:13">
      <c r="A47" s="6" t="s">
        <v>612</v>
      </c>
      <c r="B47" t="s">
        <v>982</v>
      </c>
      <c r="C47" t="s">
        <v>983</v>
      </c>
      <c r="D47" t="str" cm="1">
        <f t="array" ref="D47">SLOOKUP(C47,A:A,A:A)</f>
        <v>Die Sonne Satans</v>
      </c>
      <c r="E47" t="str" cm="1">
        <f t="array" ref="E47">LLOOKUP(C47,A:A,A:A)</f>
        <v>Die Sonne Satans</v>
      </c>
      <c r="F47" t="s">
        <v>1175</v>
      </c>
      <c r="G47" t="s">
        <v>1176</v>
      </c>
      <c r="H47" t="str" cm="1">
        <f t="array" ref="H47">SLOOKUP(G47,A:A,A:A)</f>
        <v/>
      </c>
      <c r="I47" t="str" cm="1">
        <f t="array" ref="I47">LLOOKUP(G47,A:A,A:A)</f>
        <v>Die Sonne Satans</v>
      </c>
      <c r="J47" t="s">
        <v>1369</v>
      </c>
      <c r="K47" t="s">
        <v>1370</v>
      </c>
      <c r="L47" t="str" cm="1">
        <f t="array" ref="L47">SLOOKUP(K47,A:A,A:A)</f>
        <v/>
      </c>
      <c r="M47" t="str" cm="1">
        <f t="array" ref="M47">LLOOKUP(K47,A:A,A:A)</f>
        <v>Die Sonne Satans</v>
      </c>
    </row>
    <row r="48" spans="1:13">
      <c r="A48" s="6" t="s">
        <v>592</v>
      </c>
      <c r="B48" t="s">
        <v>984</v>
      </c>
      <c r="C48" t="s">
        <v>985</v>
      </c>
      <c r="D48" t="str" cm="1">
        <f t="array" ref="D48">SLOOKUP(C48,A:A,A:A)</f>
        <v>Die Tat der Thérèse Desqueyroux</v>
      </c>
      <c r="E48" t="str" cm="1">
        <f t="array" ref="E48">LLOOKUP(C48,A:A,A:A)</f>
        <v>Die Tat der Thérèse Desqueyroux</v>
      </c>
      <c r="F48" t="s">
        <v>1177</v>
      </c>
      <c r="G48" t="s">
        <v>1178</v>
      </c>
      <c r="H48" t="str" cm="1">
        <f t="array" ref="H48">SLOOKUP(G48,A:A,A:A)</f>
        <v>Die Tat der Thérèse Desqueyroux</v>
      </c>
      <c r="I48" t="str" cm="1">
        <f t="array" ref="I48">LLOOKUP(G48,A:A,A:A)</f>
        <v>Die Tat der Thérèse Desqueyroux</v>
      </c>
      <c r="J48" t="s">
        <v>1371</v>
      </c>
      <c r="K48" t="s">
        <v>1372</v>
      </c>
      <c r="L48" t="str" cm="1">
        <f t="array" ref="L48">SLOOKUP(K48,A:A,A:A)</f>
        <v/>
      </c>
      <c r="M48" t="str" cm="1">
        <f t="array" ref="M48">LLOOKUP(K48,A:A,A:A)</f>
        <v>Die Tat der Thérèse Desqueyroux</v>
      </c>
    </row>
    <row r="49" spans="1:13">
      <c r="A49" s="6" t="s">
        <v>580</v>
      </c>
      <c r="B49" t="s">
        <v>986</v>
      </c>
      <c r="C49" t="s">
        <v>987</v>
      </c>
      <c r="D49" t="str" cm="1">
        <f t="array" ref="D49">SLOOKUP(C49,A:A,A:A)</f>
        <v/>
      </c>
      <c r="E49" t="str" cm="1">
        <f t="array" ref="E49">LLOOKUP(C49,A:A,A:A)</f>
        <v>Die Tatarenwüste</v>
      </c>
      <c r="F49" t="s">
        <v>1179</v>
      </c>
      <c r="G49" t="s">
        <v>1180</v>
      </c>
      <c r="H49" t="str" cm="1">
        <f t="array" ref="H49">SLOOKUP(G49,A:A,A:A)</f>
        <v/>
      </c>
      <c r="I49" t="str" cm="1">
        <f t="array" ref="I49">LLOOKUP(G49,A:A,A:A)</f>
        <v>Die Tatarenwüste</v>
      </c>
      <c r="J49" t="s">
        <v>1373</v>
      </c>
      <c r="K49" t="s">
        <v>1374</v>
      </c>
      <c r="L49" t="str" cm="1">
        <f t="array" ref="L49">SLOOKUP(K49,A:A,A:A)</f>
        <v/>
      </c>
      <c r="M49" t="str" cm="1">
        <f t="array" ref="M49">LLOOKUP(K49,A:A,A:A)</f>
        <v/>
      </c>
    </row>
    <row r="50" spans="1:13">
      <c r="A50" s="6" t="s">
        <v>618</v>
      </c>
      <c r="B50" t="s">
        <v>988</v>
      </c>
      <c r="C50" t="s">
        <v>989</v>
      </c>
      <c r="D50" t="str" cm="1">
        <f t="array" ref="D50">SLOOKUP(C50,A:A,A:A)</f>
        <v/>
      </c>
      <c r="E50" t="str" cm="1">
        <f t="array" ref="E50">LLOOKUP(C50,A:A,A:A)</f>
        <v>Die Verachtung</v>
      </c>
      <c r="F50" t="s">
        <v>1181</v>
      </c>
      <c r="G50" t="s">
        <v>1182</v>
      </c>
      <c r="H50" t="str" cm="1">
        <f t="array" ref="H50">SLOOKUP(G50,A:A,A:A)</f>
        <v/>
      </c>
      <c r="I50" t="str" cm="1">
        <f t="array" ref="I50">LLOOKUP(G50,A:A,A:A)</f>
        <v/>
      </c>
      <c r="J50" t="s">
        <v>1375</v>
      </c>
      <c r="K50" t="s">
        <v>1376</v>
      </c>
      <c r="L50" t="str" cm="1">
        <f t="array" ref="L50">SLOOKUP(K50,A:A,A:A)</f>
        <v/>
      </c>
      <c r="M50" t="str" cm="1">
        <f t="array" ref="M50">LLOOKUP(K50,A:A,A:A)</f>
        <v/>
      </c>
    </row>
    <row r="51" spans="1:13">
      <c r="A51" s="6" t="s">
        <v>650</v>
      </c>
      <c r="B51" t="s">
        <v>990</v>
      </c>
      <c r="C51" t="s">
        <v>991</v>
      </c>
      <c r="D51" t="str" cm="1">
        <f t="array" ref="D51">SLOOKUP(C51,A:A,A:A)</f>
        <v>Die verlorene Ehre der Katharina Blum</v>
      </c>
      <c r="E51" t="str" cm="1">
        <f t="array" ref="E51">LLOOKUP(C51,A:A,A:A)</f>
        <v>Die verlorene Ehre der Katharina Blum</v>
      </c>
      <c r="F51" t="s">
        <v>1183</v>
      </c>
      <c r="G51" t="s">
        <v>1184</v>
      </c>
      <c r="H51" t="str" cm="1">
        <f t="array" ref="H51">SLOOKUP(G51,A:A,A:A)</f>
        <v>Die verlorene Ehre der Katharina Blum</v>
      </c>
      <c r="I51" t="str" cm="1">
        <f t="array" ref="I51">LLOOKUP(G51,A:A,A:A)</f>
        <v>Die verlorene Ehre der Katharina Blum</v>
      </c>
      <c r="J51" t="s">
        <v>1377</v>
      </c>
      <c r="K51" t="s">
        <v>1378</v>
      </c>
      <c r="L51" t="str" cm="1">
        <f t="array" ref="L51">SLOOKUP(K51,A:A,A:A)</f>
        <v/>
      </c>
      <c r="M51" t="str" cm="1">
        <f t="array" ref="M51">LLOOKUP(K51,A:A,A:A)</f>
        <v>Die verlorene Ehre der Katharina Blum</v>
      </c>
    </row>
    <row r="52" spans="1:13">
      <c r="A52" s="6" t="s">
        <v>664</v>
      </c>
      <c r="B52" t="s">
        <v>992</v>
      </c>
      <c r="C52" t="s">
        <v>993</v>
      </c>
      <c r="D52" t="str" cm="1">
        <f t="array" ref="D52">SLOOKUP(C52,A:A,A:A)</f>
        <v>Die Verzückung der Lol V. Stein</v>
      </c>
      <c r="E52" t="str" cm="1">
        <f t="array" ref="E52">LLOOKUP(C52,A:A,A:A)</f>
        <v>Die Verzückung der Lol V. Stein</v>
      </c>
      <c r="F52" t="s">
        <v>1185</v>
      </c>
      <c r="G52" t="s">
        <v>1186</v>
      </c>
      <c r="H52" t="str" cm="1">
        <f t="array" ref="H52">SLOOKUP(G52,A:A,A:A)</f>
        <v/>
      </c>
      <c r="I52" t="str" cm="1">
        <f t="array" ref="I52">LLOOKUP(G52,A:A,A:A)</f>
        <v>Die Verzückung der Lol V. Stein</v>
      </c>
      <c r="J52" t="s">
        <v>1379</v>
      </c>
      <c r="K52" t="s">
        <v>1380</v>
      </c>
      <c r="L52" t="str" cm="1">
        <f t="array" ref="L52">SLOOKUP(K52,A:A,A:A)</f>
        <v/>
      </c>
      <c r="M52" t="str" cm="1">
        <f t="array" ref="M52">LLOOKUP(K52,A:A,A:A)</f>
        <v>Die Verzückung der Lol V. Stein</v>
      </c>
    </row>
    <row r="53" spans="1:13">
      <c r="A53" s="6" t="s">
        <v>658</v>
      </c>
      <c r="B53" t="s">
        <v>994</v>
      </c>
      <c r="C53" t="s">
        <v>995</v>
      </c>
      <c r="D53" t="str" cm="1">
        <f t="array" ref="D53">SLOOKUP(C53,A:A,A:A)</f>
        <v>Die wunderbare Reise des kleinen Nils Holgersson</v>
      </c>
      <c r="E53" t="str" cm="1">
        <f t="array" ref="E53">LLOOKUP(C53,A:A,A:A)</f>
        <v>Die wunderbare Reise des kleinen Nils Holgersson</v>
      </c>
      <c r="F53" t="s">
        <v>1187</v>
      </c>
      <c r="G53" t="s">
        <v>1188</v>
      </c>
      <c r="H53" t="str" cm="1">
        <f t="array" ref="H53">SLOOKUP(G53,A:A,A:A)</f>
        <v>Die wunderbare Reise des kleinen Nils Holgersson</v>
      </c>
      <c r="I53" t="str" cm="1">
        <f t="array" ref="I53">LLOOKUP(G53,A:A,A:A)</f>
        <v>Die wunderbare Reise des kleinen Nils Holgersson</v>
      </c>
      <c r="J53" t="s">
        <v>1381</v>
      </c>
      <c r="K53" t="s">
        <v>1382</v>
      </c>
      <c r="L53" t="str" cm="1">
        <f t="array" ref="L53">SLOOKUP(K53,A:A,A:A)</f>
        <v/>
      </c>
      <c r="M53" t="str" cm="1">
        <f t="array" ref="M53">LLOOKUP(K53,A:A,A:A)</f>
        <v>Die wunderbare Reise des kleinen Nils Holgersson</v>
      </c>
    </row>
    <row r="54" spans="1:13">
      <c r="A54" s="6" t="s">
        <v>572</v>
      </c>
      <c r="B54" t="s">
        <v>996</v>
      </c>
      <c r="C54" t="s">
        <v>997</v>
      </c>
      <c r="D54" t="str" cm="1">
        <f t="array" ref="D54">SLOOKUP(C54,A:A,A:A)</f>
        <v>Drei Abhandlungen zur Sexualtheorie</v>
      </c>
      <c r="E54" t="str" cm="1">
        <f t="array" ref="E54">LLOOKUP(C54,A:A,A:A)</f>
        <v>Drei Abhandlungen zur Sexualtheorie</v>
      </c>
      <c r="F54" t="s">
        <v>1189</v>
      </c>
      <c r="G54" t="s">
        <v>1190</v>
      </c>
      <c r="H54" t="str" cm="1">
        <f t="array" ref="H54">SLOOKUP(G54,A:A,A:A)</f>
        <v>Drei Abhandlungen zur Sexualtheorie</v>
      </c>
      <c r="I54" t="str" cm="1">
        <f t="array" ref="I54">LLOOKUP(G54,A:A,A:A)</f>
        <v>Drei Abhandlungen zur Sexualtheorie</v>
      </c>
      <c r="J54" t="s">
        <v>1383</v>
      </c>
      <c r="K54" t="s">
        <v>1384</v>
      </c>
      <c r="L54" t="str" cm="1">
        <f t="array" ref="L54">SLOOKUP(K54,A:A,A:A)</f>
        <v>Drei Abhandlungen zur Sexualtheorie</v>
      </c>
      <c r="M54" t="str" cm="1">
        <f t="array" ref="M54">LLOOKUP(K54,A:A,A:A)</f>
        <v>Drei Abhandlungen zur Sexualtheorie</v>
      </c>
    </row>
    <row r="55" spans="1:13">
      <c r="A55" s="6" t="s">
        <v>660</v>
      </c>
      <c r="B55" t="s">
        <v>998</v>
      </c>
      <c r="C55" t="s">
        <v>999</v>
      </c>
      <c r="D55" t="str" cm="1">
        <f t="array" ref="D55">SLOOKUP(C55,A:A,A:A)</f>
        <v>Ein Zimmer für sich allein</v>
      </c>
      <c r="E55" t="str" cm="1">
        <f t="array" ref="E55">LLOOKUP(C55,A:A,A:A)</f>
        <v>Ein Zimmer für sich allein</v>
      </c>
      <c r="F55" t="s">
        <v>999</v>
      </c>
      <c r="G55" t="s">
        <v>1191</v>
      </c>
      <c r="H55" t="str" cm="1">
        <f t="array" ref="H55">SLOOKUP(G55,A:A,A:A)</f>
        <v/>
      </c>
      <c r="I55" t="str" cm="1">
        <f t="array" ref="I55">LLOOKUP(G55,A:A,A:A)</f>
        <v>Ein Zimmer für sich allein</v>
      </c>
      <c r="J55" t="s">
        <v>1385</v>
      </c>
      <c r="K55" t="s">
        <v>1386</v>
      </c>
      <c r="L55" t="str" cm="1">
        <f t="array" ref="L55">SLOOKUP(K55,A:A,A:A)</f>
        <v/>
      </c>
      <c r="M55" t="str" cm="1">
        <f t="array" ref="M55">LLOOKUP(K55,A:A,A:A)</f>
        <v>Ein Zimmer für sich allein</v>
      </c>
    </row>
    <row r="56" spans="1:13">
      <c r="A56" s="6" t="s">
        <v>708</v>
      </c>
      <c r="B56" t="s">
        <v>1000</v>
      </c>
      <c r="C56" t="s">
        <v>1001</v>
      </c>
      <c r="D56" t="str" cm="1">
        <f t="array" ref="D56">SLOOKUP(C56,A:A,A:A)</f>
        <v>Elemente und Ursprünge totaler Herrschaft</v>
      </c>
      <c r="E56" t="str" cm="1">
        <f t="array" ref="E56">LLOOKUP(C56,A:A,A:A)</f>
        <v>Elemente und Ursprünge totaler Herrschaft</v>
      </c>
      <c r="F56" t="s">
        <v>1192</v>
      </c>
      <c r="G56" t="s">
        <v>1193</v>
      </c>
      <c r="H56" t="str" cm="1">
        <f t="array" ref="H56">SLOOKUP(G56,A:A,A:A)</f>
        <v/>
      </c>
      <c r="I56" t="str" cm="1">
        <f t="array" ref="I56">LLOOKUP(G56,A:A,A:A)</f>
        <v>Elemente und Ursprünge totaler Herrschaft</v>
      </c>
      <c r="J56" t="s">
        <v>1387</v>
      </c>
      <c r="K56" t="s">
        <v>1388</v>
      </c>
      <c r="L56" t="str" cm="1">
        <f t="array" ref="L56">SLOOKUP(K56,A:A,A:A)</f>
        <v/>
      </c>
      <c r="M56" t="str" cm="1">
        <f t="array" ref="M56">LLOOKUP(K56,A:A,A:A)</f>
        <v>Elemente und Ursprünge totaler Herrschaft</v>
      </c>
    </row>
    <row r="57" spans="1:13">
      <c r="A57" s="6" t="s">
        <v>680</v>
      </c>
      <c r="B57" t="s">
        <v>1002</v>
      </c>
      <c r="C57" t="s">
        <v>1003</v>
      </c>
      <c r="D57" t="str" cm="1">
        <f t="array" ref="D57">SLOOKUP(C57,A:A,A:A)</f>
        <v/>
      </c>
      <c r="E57" t="str" cm="1">
        <f t="array" ref="E57">LLOOKUP(C57,A:A,A:A)</f>
        <v>Fiktionen</v>
      </c>
      <c r="F57" t="s">
        <v>1194</v>
      </c>
      <c r="G57" t="s">
        <v>1195</v>
      </c>
      <c r="H57" t="str" cm="1">
        <f t="array" ref="H57">SLOOKUP(G57,A:A,A:A)</f>
        <v/>
      </c>
      <c r="I57" t="str" cm="1">
        <f t="array" ref="I57">LLOOKUP(G57,A:A,A:A)</f>
        <v/>
      </c>
      <c r="J57" t="s">
        <v>1389</v>
      </c>
      <c r="K57" t="s">
        <v>1390</v>
      </c>
      <c r="L57" t="str" cm="1">
        <f t="array" ref="L57">SLOOKUP(K57,A:A,A:A)</f>
        <v/>
      </c>
      <c r="M57" t="str" cm="1">
        <f t="array" ref="M57">LLOOKUP(K57,A:A,A:A)</f>
        <v/>
      </c>
    </row>
    <row r="58" spans="1:13">
      <c r="A58" s="6" t="s">
        <v>632</v>
      </c>
      <c r="B58" t="s">
        <v>1004</v>
      </c>
      <c r="C58" t="s">
        <v>1005</v>
      </c>
      <c r="D58" t="str" cm="1">
        <f t="array" ref="D58">SLOOKUP(C58,A:A,A:A)</f>
        <v>Freitag oder Im Schoss des Pazifik</v>
      </c>
      <c r="E58" t="str" cm="1">
        <f t="array" ref="E58">LLOOKUP(C58,A:A,A:A)</f>
        <v>Freitag oder Im Schoss des Pazifik</v>
      </c>
      <c r="F58" t="s">
        <v>1196</v>
      </c>
      <c r="G58" t="s">
        <v>1196</v>
      </c>
      <c r="H58" t="str" cm="1">
        <f t="array" ref="H58">SLOOKUP(G58,A:A,A:A)</f>
        <v/>
      </c>
      <c r="I58" t="str" cm="1">
        <f t="array" ref="I58">LLOOKUP(G58,A:A,A:A)</f>
        <v>Freitag oder Im Schoss des Pazifik</v>
      </c>
      <c r="J58" t="s">
        <v>1391</v>
      </c>
      <c r="K58" t="s">
        <v>1392</v>
      </c>
      <c r="L58" t="str" cm="1">
        <f t="array" ref="L58">SLOOKUP(K58,A:A,A:A)</f>
        <v/>
      </c>
      <c r="M58" t="str" cm="1">
        <f t="array" ref="M58">LLOOKUP(K58,A:A,A:A)</f>
        <v>Freitag oder Im Schoss des Pazifik</v>
      </c>
    </row>
    <row r="59" spans="1:13">
      <c r="A59" s="6" t="s">
        <v>538</v>
      </c>
      <c r="B59" t="s">
        <v>1006</v>
      </c>
      <c r="C59" t="s">
        <v>1007</v>
      </c>
      <c r="D59" t="str" cm="1">
        <f t="array" ref="D59">SLOOKUP(C59,A:A,A:A)</f>
        <v>Früchte des Zorns</v>
      </c>
      <c r="E59" t="str" cm="1">
        <f t="array" ref="E59">LLOOKUP(C59,A:A,A:A)</f>
        <v>Früchte des Zorns</v>
      </c>
      <c r="F59" t="s">
        <v>1197</v>
      </c>
      <c r="G59" t="s">
        <v>1198</v>
      </c>
      <c r="H59" t="str" cm="1">
        <f t="array" ref="H59">SLOOKUP(G59,A:A,A:A)</f>
        <v/>
      </c>
      <c r="I59" t="str" cm="1">
        <f t="array" ref="I59">LLOOKUP(G59,A:A,A:A)</f>
        <v>Früchte des Zorns</v>
      </c>
      <c r="J59" t="s">
        <v>1393</v>
      </c>
      <c r="K59" t="s">
        <v>1394</v>
      </c>
      <c r="L59" t="str" cm="1">
        <f t="array" ref="L59">SLOOKUP(K59,A:A,A:A)</f>
        <v/>
      </c>
      <c r="M59" t="str" cm="1">
        <f t="array" ref="M59">LLOOKUP(K59,A:A,A:A)</f>
        <v/>
      </c>
    </row>
    <row r="60" spans="1:13">
      <c r="A60" s="6" t="s">
        <v>696</v>
      </c>
      <c r="B60" t="s">
        <v>1008</v>
      </c>
      <c r="C60" t="s">
        <v>1009</v>
      </c>
      <c r="D60" t="str" cm="1">
        <f t="array" ref="D60">SLOOKUP(C60,A:A,A:A)</f>
        <v>Fureur et mystère</v>
      </c>
      <c r="E60" t="str" cm="1">
        <f t="array" ref="E60">LLOOKUP(C60,A:A,A:A)</f>
        <v>Fureur et mystère</v>
      </c>
      <c r="F60" t="s">
        <v>1199</v>
      </c>
      <c r="G60" t="s">
        <v>1200</v>
      </c>
      <c r="H60" t="str" cm="1">
        <f t="array" ref="H60">SLOOKUP(G60,A:A,A:A)</f>
        <v/>
      </c>
      <c r="I60" t="str" cm="1">
        <f t="array" ref="I60">LLOOKUP(G60,A:A,A:A)</f>
        <v>Fureur et mystère</v>
      </c>
      <c r="J60" t="s">
        <v>1395</v>
      </c>
      <c r="K60" t="s">
        <v>1396</v>
      </c>
      <c r="L60" t="str" cm="1">
        <f t="array" ref="L60">SLOOKUP(K60,A:A,A:A)</f>
        <v/>
      </c>
      <c r="M60" t="str" cm="1">
        <f t="array" ref="M60">LLOOKUP(K60,A:A,A:A)</f>
        <v>Fureur et mystère</v>
      </c>
    </row>
    <row r="61" spans="1:13">
      <c r="A61" s="6" t="s">
        <v>717</v>
      </c>
      <c r="B61" t="s">
        <v>1010</v>
      </c>
      <c r="C61" t="s">
        <v>1011</v>
      </c>
      <c r="D61" t="str" cm="1">
        <f t="array" ref="D61">SLOOKUP(C61,A:A,A:A)</f>
        <v/>
      </c>
      <c r="E61" t="str" cm="1">
        <f t="array" ref="E61">LLOOKUP(C61,A:A,A:A)</f>
        <v/>
      </c>
      <c r="F61" t="s">
        <v>1201</v>
      </c>
      <c r="G61" t="s">
        <v>1202</v>
      </c>
      <c r="H61" t="str" cm="1">
        <f t="array" ref="H61">SLOOKUP(G61,A:A,A:A)</f>
        <v/>
      </c>
      <c r="I61" t="str" cm="1">
        <f t="array" ref="I61">LLOOKUP(G61,A:A,A:A)</f>
        <v/>
      </c>
      <c r="J61" t="s">
        <v>1397</v>
      </c>
      <c r="K61" t="s">
        <v>1398</v>
      </c>
      <c r="L61" t="str" cm="1">
        <f t="array" ref="L61">SLOOKUP(K61,A:A,A:A)</f>
        <v/>
      </c>
      <c r="M61" t="str" cm="1">
        <f t="array" ref="M61">LLOOKUP(K61,A:A,A:A)</f>
        <v/>
      </c>
    </row>
    <row r="62" spans="1:13">
      <c r="A62" s="6" t="s">
        <v>642</v>
      </c>
      <c r="B62" t="s">
        <v>1012</v>
      </c>
      <c r="C62" t="s">
        <v>1013</v>
      </c>
      <c r="D62" t="str" cm="1">
        <f t="array" ref="D62">SLOOKUP(C62,A:A,A:A)</f>
        <v>Hauptstadt der Schmerzen</v>
      </c>
      <c r="E62" t="str" cm="1">
        <f t="array" ref="E62">LLOOKUP(C62,A:A,A:A)</f>
        <v>Hauptstadt der Schmerzen</v>
      </c>
      <c r="F62" t="s">
        <v>1203</v>
      </c>
      <c r="G62" t="s">
        <v>1204</v>
      </c>
      <c r="H62" t="str" cm="1">
        <f t="array" ref="H62">SLOOKUP(G62,A:A,A:A)</f>
        <v/>
      </c>
      <c r="I62" t="str" cm="1">
        <f t="array" ref="I62">LLOOKUP(G62,A:A,A:A)</f>
        <v>Hauptstadt der Schmerzen</v>
      </c>
      <c r="J62" t="s">
        <v>1399</v>
      </c>
      <c r="K62" t="s">
        <v>1400</v>
      </c>
      <c r="L62" t="str" cm="1">
        <f t="array" ref="L62">SLOOKUP(K62,A:A,A:A)</f>
        <v/>
      </c>
      <c r="M62" t="str" cm="1">
        <f t="array" ref="M62">LLOOKUP(K62,A:A,A:A)</f>
        <v>Hauptstadt der Schmerzen</v>
      </c>
    </row>
    <row r="63" spans="1:13">
      <c r="A63" s="6" t="s">
        <v>588</v>
      </c>
      <c r="B63" t="s">
        <v>1014</v>
      </c>
      <c r="C63" t="s">
        <v>1015</v>
      </c>
      <c r="D63" t="str" cm="1">
        <f t="array" ref="D63">SLOOKUP(C63,A:A,A:A)</f>
        <v>Hundert Jahre Einsamkeit</v>
      </c>
      <c r="E63" t="str" cm="1">
        <f t="array" ref="E63">LLOOKUP(C63,A:A,A:A)</f>
        <v>Hundert Jahre Einsamkeit</v>
      </c>
      <c r="F63" t="s">
        <v>1205</v>
      </c>
      <c r="G63" t="s">
        <v>1206</v>
      </c>
      <c r="H63" t="str" cm="1">
        <f t="array" ref="H63">SLOOKUP(G63,A:A,A:A)</f>
        <v/>
      </c>
      <c r="I63" t="str" cm="1">
        <f t="array" ref="I63">LLOOKUP(G63,A:A,A:A)</f>
        <v>Hundert Jahre Einsamkeit</v>
      </c>
      <c r="J63" t="s">
        <v>1401</v>
      </c>
      <c r="K63" t="s">
        <v>1402</v>
      </c>
      <c r="L63" t="str" cm="1">
        <f t="array" ref="L63">SLOOKUP(K63,A:A,A:A)</f>
        <v/>
      </c>
      <c r="M63" t="str" cm="1">
        <f t="array" ref="M63">LLOOKUP(K63,A:A,A:A)</f>
        <v>Hundert Jahre Einsamkeit</v>
      </c>
    </row>
    <row r="64" spans="1:13">
      <c r="A64" s="6" t="s">
        <v>636</v>
      </c>
      <c r="B64" t="s">
        <v>1016</v>
      </c>
      <c r="C64" t="s">
        <v>1017</v>
      </c>
      <c r="D64" t="str" cm="1">
        <f t="array" ref="D64">SLOOKUP(C64,A:A,A:A)</f>
        <v>Ist das ein Mensch?</v>
      </c>
      <c r="E64" t="str" cm="1">
        <f t="array" ref="E64">LLOOKUP(C64,A:A,A:A)</f>
        <v>Ist das ein Mensch?</v>
      </c>
      <c r="F64" t="s">
        <v>1207</v>
      </c>
      <c r="G64" t="s">
        <v>1208</v>
      </c>
      <c r="H64" t="str" cm="1">
        <f t="array" ref="H64">SLOOKUP(G64,A:A,A:A)</f>
        <v/>
      </c>
      <c r="I64" t="str" cm="1">
        <f t="array" ref="I64">LLOOKUP(G64,A:A,A:A)</f>
        <v>Ist das ein Mensch?</v>
      </c>
      <c r="J64" t="s">
        <v>1403</v>
      </c>
      <c r="K64" t="s">
        <v>1404</v>
      </c>
      <c r="L64" t="str" cm="1">
        <f t="array" ref="L64">SLOOKUP(K64,A:A,A:A)</f>
        <v/>
      </c>
      <c r="M64" t="str" cm="1">
        <f t="array" ref="M64">LLOOKUP(K64,A:A,A:A)</f>
        <v/>
      </c>
    </row>
    <row r="65" spans="1:13">
      <c r="A65" s="6" t="s">
        <v>700</v>
      </c>
      <c r="B65" t="s">
        <v>1018</v>
      </c>
      <c r="C65" t="s">
        <v>1019</v>
      </c>
      <c r="D65" t="str" cm="1">
        <f t="array" ref="D65">SLOOKUP(C65,A:A,A:A)</f>
        <v>Keine Orchideen für Mrs. Blandish</v>
      </c>
      <c r="E65" t="str" cm="1">
        <f t="array" ref="E65">LLOOKUP(C65,A:A,A:A)</f>
        <v>Keine Orchideen für Mrs. Blandish</v>
      </c>
      <c r="F65" t="s">
        <v>1209</v>
      </c>
      <c r="G65" t="s">
        <v>1210</v>
      </c>
      <c r="H65" t="str" cm="1">
        <f t="array" ref="H65">SLOOKUP(G65,A:A,A:A)</f>
        <v/>
      </c>
      <c r="I65" t="str" cm="1">
        <f t="array" ref="I65">LLOOKUP(G65,A:A,A:A)</f>
        <v>Keine Orchideen für Mrs. Blandish</v>
      </c>
      <c r="J65" t="s">
        <v>1405</v>
      </c>
      <c r="K65" t="s">
        <v>1406</v>
      </c>
      <c r="L65" t="str" cm="1">
        <f t="array" ref="L65">SLOOKUP(K65,A:A,A:A)</f>
        <v/>
      </c>
      <c r="M65" t="str" cm="1">
        <f t="array" ref="M65">LLOOKUP(K65,A:A,A:A)</f>
        <v>Keine Orchideen für Mrs. Blandish</v>
      </c>
    </row>
    <row r="66" spans="1:13">
      <c r="A66" s="6" t="s">
        <v>600</v>
      </c>
      <c r="B66" t="s">
        <v>1020</v>
      </c>
      <c r="C66" t="s">
        <v>1021</v>
      </c>
      <c r="D66" t="str" cm="1">
        <f t="array" ref="D66">SLOOKUP(C66,A:A,A:A)</f>
        <v>Lady Chatterleys Liebhaber</v>
      </c>
      <c r="E66" t="str" cm="1">
        <f t="array" ref="E66">LLOOKUP(C66,A:A,A:A)</f>
        <v>Lady Chatterleys Liebhaber</v>
      </c>
      <c r="F66" t="s">
        <v>1211</v>
      </c>
      <c r="G66" t="s">
        <v>1212</v>
      </c>
      <c r="H66" t="str" cm="1">
        <f t="array" ref="H66">SLOOKUP(G66,A:A,A:A)</f>
        <v>Lady Chatterleys Liebhaber</v>
      </c>
      <c r="I66" t="str" cm="1">
        <f t="array" ref="I66">LLOOKUP(G66,A:A,A:A)</f>
        <v>Lady Chatterleys Liebhaber</v>
      </c>
      <c r="J66" t="s">
        <v>1407</v>
      </c>
      <c r="K66" t="s">
        <v>1408</v>
      </c>
      <c r="L66" t="str" cm="1">
        <f t="array" ref="L66">SLOOKUP(K66,A:A,A:A)</f>
        <v/>
      </c>
      <c r="M66" t="str" cm="1">
        <f t="array" ref="M66">LLOOKUP(K66,A:A,A:A)</f>
        <v>Lady Chatterleys Liebhaber</v>
      </c>
    </row>
    <row r="67" spans="1:13">
      <c r="A67" s="6" t="s">
        <v>640</v>
      </c>
      <c r="B67" t="s">
        <v>1022</v>
      </c>
      <c r="C67" t="s">
        <v>1023</v>
      </c>
      <c r="D67" t="str" cm="1">
        <f t="array" ref="D67">SLOOKUP(C67,A:A,A:A)</f>
        <v>Les Vrilles de la vigne</v>
      </c>
      <c r="E67" t="str" cm="1">
        <f t="array" ref="E67">LLOOKUP(C67,A:A,A:A)</f>
        <v>Les Vrilles de la vigne</v>
      </c>
      <c r="F67" t="s">
        <v>1213</v>
      </c>
      <c r="G67" t="s">
        <v>1214</v>
      </c>
      <c r="H67" t="str" cm="1">
        <f t="array" ref="H67">SLOOKUP(G67,A:A,A:A)</f>
        <v/>
      </c>
      <c r="I67" t="str" cm="1">
        <f t="array" ref="I67">LLOOKUP(G67,A:A,A:A)</f>
        <v>Les Vrilles de la vigne</v>
      </c>
      <c r="J67" t="s">
        <v>1409</v>
      </c>
      <c r="K67" t="s">
        <v>1410</v>
      </c>
      <c r="L67" t="str" cm="1">
        <f t="array" ref="L67">SLOOKUP(K67,A:A,A:A)</f>
        <v/>
      </c>
      <c r="M67" t="str" cm="1">
        <f t="array" ref="M67">LLOOKUP(K67,A:A,A:A)</f>
        <v>Les Vrilles de la vigne</v>
      </c>
    </row>
    <row r="68" spans="1:13">
      <c r="A68" s="6" t="s">
        <v>576</v>
      </c>
      <c r="B68" t="s">
        <v>1024</v>
      </c>
      <c r="C68" t="s">
        <v>1025</v>
      </c>
      <c r="D68" t="str" cm="1">
        <f t="array" ref="D68">SLOOKUP(C68,A:A,A:A)</f>
        <v/>
      </c>
      <c r="E68" t="str" cm="1">
        <f t="array" ref="E68">LLOOKUP(C68,A:A,A:A)</f>
        <v/>
      </c>
      <c r="F68" t="s">
        <v>1215</v>
      </c>
      <c r="G68" t="s">
        <v>1216</v>
      </c>
      <c r="H68" t="str" cm="1">
        <f t="array" ref="H68">SLOOKUP(G68,A:A,A:A)</f>
        <v/>
      </c>
      <c r="I68" t="str" cm="1">
        <f t="array" ref="I68">LLOOKUP(G68,A:A,A:A)</f>
        <v/>
      </c>
      <c r="J68" t="s">
        <v>1411</v>
      </c>
      <c r="K68" t="s">
        <v>1411</v>
      </c>
      <c r="L68" t="str" cm="1">
        <f t="array" ref="L68">SLOOKUP(K68,A:A,A:A)</f>
        <v/>
      </c>
      <c r="M68" t="str" cm="1">
        <f t="array" ref="M68">LLOOKUP(K68,A:A,A:A)</f>
        <v/>
      </c>
    </row>
    <row r="69" spans="1:13">
      <c r="A69" s="6" t="s">
        <v>672</v>
      </c>
      <c r="B69" t="s">
        <v>1026</v>
      </c>
      <c r="C69" t="s">
        <v>1027</v>
      </c>
      <c r="D69" t="str" cm="1">
        <f t="array" ref="D69">SLOOKUP(C69,A:A,A:A)</f>
        <v/>
      </c>
      <c r="E69" t="str" cm="1">
        <f t="array" ref="E69">LLOOKUP(C69,A:A,A:A)</f>
        <v>Lord Jim</v>
      </c>
      <c r="F69" t="s">
        <v>1217</v>
      </c>
      <c r="G69" t="s">
        <v>1218</v>
      </c>
      <c r="H69" t="str" cm="1">
        <f t="array" ref="H69">SLOOKUP(G69,A:A,A:A)</f>
        <v/>
      </c>
      <c r="I69" t="str" cm="1">
        <f t="array" ref="I69">LLOOKUP(G69,A:A,A:A)</f>
        <v/>
      </c>
      <c r="J69" t="s">
        <v>1218</v>
      </c>
      <c r="K69" t="s">
        <v>1412</v>
      </c>
      <c r="L69" t="str" cm="1">
        <f t="array" ref="L69">SLOOKUP(K69,A:A,A:A)</f>
        <v/>
      </c>
      <c r="M69" t="str" cm="1">
        <f t="array" ref="M69">LLOOKUP(K69,A:A,A:A)</f>
        <v/>
      </c>
    </row>
    <row r="70" spans="1:13">
      <c r="A70" s="6" t="s">
        <v>690</v>
      </c>
      <c r="B70" t="s">
        <v>1028</v>
      </c>
      <c r="C70" t="s">
        <v>1029</v>
      </c>
      <c r="D70" t="str" cm="1">
        <f t="array" ref="D70">SLOOKUP(C70,A:A,A:A)</f>
        <v>Maigret und Pietr der Lette</v>
      </c>
      <c r="E70" t="str" cm="1">
        <f t="array" ref="E70">LLOOKUP(C70,A:A,A:A)</f>
        <v>Maigret und Pietr der Lette</v>
      </c>
      <c r="F70" t="s">
        <v>1219</v>
      </c>
      <c r="G70" t="s">
        <v>1220</v>
      </c>
      <c r="H70" t="str" cm="1">
        <f t="array" ref="H70">SLOOKUP(G70,A:A,A:A)</f>
        <v/>
      </c>
      <c r="I70" t="str" cm="1">
        <f t="array" ref="I70">LLOOKUP(G70,A:A,A:A)</f>
        <v>Maigret und Pietr der Lette</v>
      </c>
      <c r="J70" t="s">
        <v>1413</v>
      </c>
      <c r="K70" t="s">
        <v>1414</v>
      </c>
      <c r="L70" t="str" cm="1">
        <f t="array" ref="L70">SLOOKUP(K70,A:A,A:A)</f>
        <v/>
      </c>
      <c r="M70" t="str" cm="1">
        <f t="array" ref="M70">LLOOKUP(K70,A:A,A:A)</f>
        <v>Maigret und Pietr der Lette</v>
      </c>
    </row>
    <row r="71" spans="1:13">
      <c r="A71" s="6" t="s">
        <v>678</v>
      </c>
      <c r="B71" t="s">
        <v>1030</v>
      </c>
      <c r="C71" t="s">
        <v>1031</v>
      </c>
      <c r="D71" t="str" cm="1">
        <f t="array" ref="D71">SLOOKUP(C71,A:A,A:A)</f>
        <v>Manhattan Transfer</v>
      </c>
      <c r="E71" t="str" cm="1">
        <f t="array" ref="E71">LLOOKUP(C71,A:A,A:A)</f>
        <v>Manhattan Transfer</v>
      </c>
      <c r="F71" t="s">
        <v>1221</v>
      </c>
      <c r="G71" t="s">
        <v>1222</v>
      </c>
      <c r="H71" t="str" cm="1">
        <f t="array" ref="H71">SLOOKUP(G71,A:A,A:A)</f>
        <v/>
      </c>
      <c r="I71" t="str" cm="1">
        <f t="array" ref="I71">LLOOKUP(G71,A:A,A:A)</f>
        <v>Manhattan Transfer</v>
      </c>
      <c r="J71" t="s">
        <v>1415</v>
      </c>
      <c r="K71" t="s">
        <v>1416</v>
      </c>
      <c r="L71" t="str" cm="1">
        <f t="array" ref="L71">SLOOKUP(K71,A:A,A:A)</f>
        <v/>
      </c>
      <c r="M71" t="str" cm="1">
        <f t="array" ref="M71">LLOOKUP(K71,A:A,A:A)</f>
        <v/>
      </c>
    </row>
    <row r="72" spans="1:13">
      <c r="A72" s="6" t="s">
        <v>644</v>
      </c>
      <c r="B72" t="s">
        <v>1032</v>
      </c>
      <c r="C72" t="s">
        <v>1033</v>
      </c>
      <c r="D72" t="str" cm="1">
        <f t="array" ref="D72">SLOOKUP(C72,A:A,A:A)</f>
        <v>Martin Eden</v>
      </c>
      <c r="E72" t="str" cm="1">
        <f t="array" ref="E72">LLOOKUP(C72,A:A,A:A)</f>
        <v>Martin Eden</v>
      </c>
      <c r="F72" t="s">
        <v>1223</v>
      </c>
      <c r="G72" t="s">
        <v>1224</v>
      </c>
      <c r="H72" t="str" cm="1">
        <f t="array" ref="H72">SLOOKUP(G72,A:A,A:A)</f>
        <v/>
      </c>
      <c r="I72" t="str" cm="1">
        <f t="array" ref="I72">LLOOKUP(G72,A:A,A:A)</f>
        <v/>
      </c>
      <c r="J72" t="s">
        <v>1417</v>
      </c>
      <c r="K72" t="s">
        <v>1418</v>
      </c>
      <c r="L72" t="str" cm="1">
        <f t="array" ref="L72">SLOOKUP(K72,A:A,A:A)</f>
        <v/>
      </c>
      <c r="M72" t="str" cm="1">
        <f t="array" ref="M72">LLOOKUP(K72,A:A,A:A)</f>
        <v/>
      </c>
    </row>
    <row r="73" spans="1:13">
      <c r="A73" s="6" t="s">
        <v>721</v>
      </c>
      <c r="B73" t="s">
        <v>1034</v>
      </c>
      <c r="C73" t="s">
        <v>1035</v>
      </c>
      <c r="D73" t="str" cm="1">
        <f t="array" ref="D73">SLOOKUP(C73,A:A,A:A)</f>
        <v>Mitternachtskinder</v>
      </c>
      <c r="E73" t="str" cm="1">
        <f t="array" ref="E73">LLOOKUP(C73,A:A,A:A)</f>
        <v>Mitternachtskinder</v>
      </c>
      <c r="F73" t="s">
        <v>1225</v>
      </c>
      <c r="G73" t="s">
        <v>1226</v>
      </c>
      <c r="H73" t="str" cm="1">
        <f t="array" ref="H73">SLOOKUP(G73,A:A,A:A)</f>
        <v/>
      </c>
      <c r="I73" t="str" cm="1">
        <f t="array" ref="I73">LLOOKUP(G73,A:A,A:A)</f>
        <v>Mitternachtskinder</v>
      </c>
      <c r="J73" t="s">
        <v>1419</v>
      </c>
      <c r="K73" t="s">
        <v>1420</v>
      </c>
      <c r="L73" t="str" cm="1">
        <f t="array" ref="L73">SLOOKUP(K73,A:A,A:A)</f>
        <v/>
      </c>
      <c r="M73" t="str" cm="1">
        <f t="array" ref="M73">LLOOKUP(K73,A:A,A:A)</f>
        <v/>
      </c>
    </row>
    <row r="74" spans="1:13">
      <c r="A74" s="6" t="s">
        <v>682</v>
      </c>
      <c r="B74" t="s">
        <v>1036</v>
      </c>
      <c r="C74" t="s">
        <v>1037</v>
      </c>
      <c r="D74" t="str" cm="1">
        <f t="array" ref="D74">SLOOKUP(C74,A:A,A:A)</f>
        <v>Moloch. Das Leben des Moravagine</v>
      </c>
      <c r="E74" t="str" cm="1">
        <f t="array" ref="E74">LLOOKUP(C74,A:A,A:A)</f>
        <v>Moloch. Das Leben des Moravagine</v>
      </c>
      <c r="F74" t="s">
        <v>1227</v>
      </c>
      <c r="G74" t="s">
        <v>1228</v>
      </c>
      <c r="H74" t="str" cm="1">
        <f t="array" ref="H74">SLOOKUP(G74,A:A,A:A)</f>
        <v/>
      </c>
      <c r="I74" t="str" cm="1">
        <f t="array" ref="I74">LLOOKUP(G74,A:A,A:A)</f>
        <v>Moloch. Das Leben des Moravagine</v>
      </c>
      <c r="J74" t="s">
        <v>1421</v>
      </c>
      <c r="K74" t="s">
        <v>1422</v>
      </c>
      <c r="L74" t="str" cm="1">
        <f t="array" ref="L74">SLOOKUP(K74,A:A,A:A)</f>
        <v/>
      </c>
      <c r="M74" t="str" cm="1">
        <f t="array" ref="M74">LLOOKUP(K74,A:A,A:A)</f>
        <v>Moloch. Das Leben des Moravagine</v>
      </c>
    </row>
    <row r="75" spans="1:13">
      <c r="A75" s="6" t="s">
        <v>622</v>
      </c>
      <c r="B75" t="s">
        <v>1038</v>
      </c>
      <c r="C75" t="s">
        <v>1039</v>
      </c>
      <c r="D75" t="str" cm="1">
        <f t="array" ref="D75">SLOOKUP(C75,A:A,A:A)</f>
        <v/>
      </c>
      <c r="E75" t="str" cm="1">
        <f t="array" ref="E75">LLOOKUP(C75,A:A,A:A)</f>
        <v/>
      </c>
      <c r="F75" t="s">
        <v>1229</v>
      </c>
      <c r="G75" t="s">
        <v>1230</v>
      </c>
      <c r="H75" t="str" cm="1">
        <f t="array" ref="H75">SLOOKUP(G75,A:A,A:A)</f>
        <v/>
      </c>
      <c r="I75" t="str" cm="1">
        <f t="array" ref="I75">LLOOKUP(G75,A:A,A:A)</f>
        <v/>
      </c>
      <c r="J75" t="s">
        <v>1423</v>
      </c>
      <c r="K75" t="s">
        <v>1424</v>
      </c>
      <c r="L75" t="str" cm="1">
        <f t="array" ref="L75">SLOOKUP(K75,A:A,A:A)</f>
        <v/>
      </c>
      <c r="M75" t="str" cm="1">
        <f t="array" ref="M75">LLOOKUP(K75,A:A,A:A)</f>
        <v/>
      </c>
    </row>
    <row r="76" spans="1:13">
      <c r="A76" s="6" t="s">
        <v>692</v>
      </c>
      <c r="B76" t="s">
        <v>1040</v>
      </c>
      <c r="C76" t="s">
        <v>1041</v>
      </c>
      <c r="D76" t="str" cm="1">
        <f t="array" ref="D76">SLOOKUP(C76,A:A,A:A)</f>
        <v/>
      </c>
      <c r="E76" t="str" cm="1">
        <f t="array" ref="E76">LLOOKUP(C76,A:A,A:A)</f>
        <v>Notre-Dame-des-Fleurs</v>
      </c>
      <c r="F76" t="s">
        <v>1231</v>
      </c>
      <c r="G76" t="s">
        <v>1232</v>
      </c>
      <c r="H76" t="str" cm="1">
        <f t="array" ref="H76">SLOOKUP(G76,A:A,A:A)</f>
        <v/>
      </c>
      <c r="I76" t="str" cm="1">
        <f t="array" ref="I76">LLOOKUP(G76,A:A,A:A)</f>
        <v>Notre-Dame-des-Fleurs</v>
      </c>
      <c r="J76" t="s">
        <v>1425</v>
      </c>
      <c r="K76" t="s">
        <v>1426</v>
      </c>
      <c r="L76" t="str" cm="1">
        <f t="array" ref="L76">SLOOKUP(K76,A:A,A:A)</f>
        <v/>
      </c>
      <c r="M76" t="str" cm="1">
        <f t="array" ref="M76">LLOOKUP(K76,A:A,A:A)</f>
        <v>Notre-Dame-des-Fleurs</v>
      </c>
    </row>
    <row r="77" spans="1:13">
      <c r="A77" s="6" t="s">
        <v>706</v>
      </c>
      <c r="B77" t="s">
        <v>1042</v>
      </c>
      <c r="C77" t="s">
        <v>1043</v>
      </c>
      <c r="D77" t="str" cm="1">
        <f t="array" ref="D77">SLOOKUP(C77,A:A,A:A)</f>
        <v>Paris-Rom oder Die Modifikation</v>
      </c>
      <c r="E77" t="str" cm="1">
        <f t="array" ref="E77">LLOOKUP(C77,A:A,A:A)</f>
        <v>Paris-Rom oder Die Modifikation</v>
      </c>
      <c r="F77" t="s">
        <v>1233</v>
      </c>
      <c r="G77" t="s">
        <v>1234</v>
      </c>
      <c r="H77" t="str" cm="1">
        <f t="array" ref="H77">SLOOKUP(G77,A:A,A:A)</f>
        <v>Paris-Rom oder Die Modifikation</v>
      </c>
      <c r="I77" t="str" cm="1">
        <f t="array" ref="I77">LLOOKUP(G77,A:A,A:A)</f>
        <v>Paris-Rom oder Die Modifikation</v>
      </c>
      <c r="J77" t="s">
        <v>1427</v>
      </c>
      <c r="K77" t="s">
        <v>1428</v>
      </c>
      <c r="L77" t="str" cm="1">
        <f t="array" ref="L77">SLOOKUP(K77,A:A,A:A)</f>
        <v/>
      </c>
      <c r="M77" t="str" cm="1">
        <f t="array" ref="M77">LLOOKUP(K77,A:A,A:A)</f>
        <v>Paris-Rom oder Die Modifikation</v>
      </c>
    </row>
    <row r="78" spans="1:13">
      <c r="A78" s="6" t="s">
        <v>556</v>
      </c>
      <c r="B78" t="s">
        <v>1044</v>
      </c>
      <c r="C78" t="s">
        <v>1045</v>
      </c>
      <c r="D78" t="str" cm="1">
        <f t="array" ref="D78">SLOOKUP(C78,A:A,A:A)</f>
        <v/>
      </c>
      <c r="E78" t="str" cm="1">
        <f t="array" ref="E78">LLOOKUP(C78,A:A,A:A)</f>
        <v/>
      </c>
      <c r="F78" t="s">
        <v>1235</v>
      </c>
      <c r="G78" t="s">
        <v>1236</v>
      </c>
      <c r="H78" t="str" cm="1">
        <f t="array" ref="H78">SLOOKUP(G78,A:A,A:A)</f>
        <v/>
      </c>
      <c r="I78" t="str" cm="1">
        <f t="array" ref="I78">LLOOKUP(G78,A:A,A:A)</f>
        <v/>
      </c>
      <c r="J78" t="s">
        <v>1429</v>
      </c>
      <c r="K78" t="s">
        <v>1430</v>
      </c>
      <c r="L78" t="str" cm="1">
        <f t="array" ref="L78">SLOOKUP(K78,A:A,A:A)</f>
        <v/>
      </c>
      <c r="M78" t="str" cm="1">
        <f t="array" ref="M78">LLOOKUP(K78,A:A,A:A)</f>
        <v/>
      </c>
    </row>
    <row r="79" spans="1:13">
      <c r="A79" s="6" t="s">
        <v>536</v>
      </c>
      <c r="B79" t="s">
        <v>1046</v>
      </c>
      <c r="C79" t="s">
        <v>1047</v>
      </c>
      <c r="D79" t="str" cm="1">
        <f t="array" ref="D79">SLOOKUP(C79,A:A,A:A)</f>
        <v>Reise ans Ende der Nacht</v>
      </c>
      <c r="E79" t="str" cm="1">
        <f t="array" ref="E79">LLOOKUP(C79,A:A,A:A)</f>
        <v>Reise ans Ende der Nacht</v>
      </c>
      <c r="F79" t="s">
        <v>1237</v>
      </c>
      <c r="G79" t="s">
        <v>1238</v>
      </c>
      <c r="H79" t="str" cm="1">
        <f t="array" ref="H79">SLOOKUP(G79,A:A,A:A)</f>
        <v/>
      </c>
      <c r="I79" t="str" cm="1">
        <f t="array" ref="I79">LLOOKUP(G79,A:A,A:A)</f>
        <v>Reise ans Ende der Nacht</v>
      </c>
      <c r="J79" t="s">
        <v>1431</v>
      </c>
      <c r="K79" t="s">
        <v>1432</v>
      </c>
      <c r="L79" t="str" cm="1">
        <f t="array" ref="L79">SLOOKUP(K79,A:A,A:A)</f>
        <v/>
      </c>
      <c r="M79" t="str" cm="1">
        <f t="array" ref="M79">LLOOKUP(K79,A:A,A:A)</f>
        <v>Reise ans Ende der Nacht</v>
      </c>
    </row>
    <row r="80" spans="1:13">
      <c r="A80" s="6" t="s">
        <v>590</v>
      </c>
      <c r="B80" t="s">
        <v>1048</v>
      </c>
      <c r="C80" t="s">
        <v>1049</v>
      </c>
      <c r="D80" t="str" cm="1">
        <f t="array" ref="D80">SLOOKUP(C80,A:A,A:A)</f>
        <v>Schall und Wahn</v>
      </c>
      <c r="E80" t="str" cm="1">
        <f t="array" ref="E80">LLOOKUP(C80,A:A,A:A)</f>
        <v>Schall und Wahn</v>
      </c>
      <c r="F80" t="s">
        <v>1239</v>
      </c>
      <c r="G80" t="s">
        <v>1240</v>
      </c>
      <c r="H80" t="str" cm="1">
        <f t="array" ref="H80">SLOOKUP(G80,A:A,A:A)</f>
        <v/>
      </c>
      <c r="I80" t="str" cm="1">
        <f t="array" ref="I80">LLOOKUP(G80,A:A,A:A)</f>
        <v/>
      </c>
      <c r="J80" t="s">
        <v>1433</v>
      </c>
      <c r="K80" t="s">
        <v>1434</v>
      </c>
      <c r="L80" t="str" cm="1">
        <f t="array" ref="L80">SLOOKUP(K80,A:A,A:A)</f>
        <v/>
      </c>
      <c r="M80" t="str" cm="1">
        <f t="array" ref="M80">LLOOKUP(K80,A:A,A:A)</f>
        <v/>
      </c>
    </row>
    <row r="81" spans="1:13">
      <c r="A81" s="6" t="s">
        <v>566</v>
      </c>
      <c r="B81" t="s">
        <v>1050</v>
      </c>
      <c r="C81" t="s">
        <v>1051</v>
      </c>
      <c r="D81" t="str" cm="1">
        <f t="array" ref="D81">SLOOKUP(C81,A:A,A:A)</f>
        <v/>
      </c>
      <c r="E81" t="str" cm="1">
        <f t="array" ref="E81">LLOOKUP(C81,A:A,A:A)</f>
        <v>Schöne neue Welt</v>
      </c>
      <c r="F81" t="s">
        <v>1051</v>
      </c>
      <c r="G81" t="s">
        <v>1241</v>
      </c>
      <c r="H81" t="str" cm="1">
        <f t="array" ref="H81">SLOOKUP(G81,A:A,A:A)</f>
        <v/>
      </c>
      <c r="I81" t="str" cm="1">
        <f t="array" ref="I81">LLOOKUP(G81,A:A,A:A)</f>
        <v>Schöne neue Welt</v>
      </c>
      <c r="J81" t="s">
        <v>1435</v>
      </c>
      <c r="K81" t="s">
        <v>1436</v>
      </c>
      <c r="L81" t="str" cm="1">
        <f t="array" ref="L81">SLOOKUP(K81,A:A,A:A)</f>
        <v/>
      </c>
      <c r="M81" t="str" cm="1">
        <f t="array" ref="M81">LLOOKUP(K81,A:A,A:A)</f>
        <v/>
      </c>
    </row>
    <row r="82" spans="1:13">
      <c r="A82" s="6" t="s">
        <v>674</v>
      </c>
      <c r="B82" t="s">
        <v>1052</v>
      </c>
      <c r="C82" t="s">
        <v>1053</v>
      </c>
      <c r="D82" t="str" cm="1">
        <f t="array" ref="D82">SLOOKUP(C82,A:A,A:A)</f>
        <v>Schriften</v>
      </c>
      <c r="E82" t="str" cm="1">
        <f t="array" ref="E82">LLOOKUP(C82,A:A,A:A)</f>
        <v>Schriften</v>
      </c>
      <c r="F82" t="s">
        <v>1242</v>
      </c>
      <c r="G82" t="s">
        <v>1243</v>
      </c>
      <c r="H82" t="str" cm="1">
        <f t="array" ref="H82">SLOOKUP(G82,A:A,A:A)</f>
        <v/>
      </c>
      <c r="I82" t="str" cm="1">
        <f t="array" ref="I82">LLOOKUP(G82,A:A,A:A)</f>
        <v/>
      </c>
      <c r="J82" t="s">
        <v>1437</v>
      </c>
      <c r="K82" t="s">
        <v>1438</v>
      </c>
      <c r="L82" t="str" cm="1">
        <f t="array" ref="L82">SLOOKUP(K82,A:A,A:A)</f>
        <v/>
      </c>
      <c r="M82" t="str" cm="1">
        <f t="array" ref="M82">LLOOKUP(K82,A:A,A:A)</f>
        <v/>
      </c>
    </row>
    <row r="83" spans="1:13">
      <c r="A83" s="6" t="s">
        <v>628</v>
      </c>
      <c r="B83" t="s">
        <v>1054</v>
      </c>
      <c r="C83" t="s">
        <v>1054</v>
      </c>
      <c r="D83" t="str" cm="1">
        <f t="array" ref="D83">SLOOKUP(C83,A:A,A:A)</f>
        <v>Sechs Personen suchen einen Autor</v>
      </c>
      <c r="E83" t="str" cm="1">
        <f t="array" ref="E83">LLOOKUP(C83,A:A,A:A)</f>
        <v>Sechs Personen suchen einen Autor</v>
      </c>
      <c r="F83" t="s">
        <v>1244</v>
      </c>
      <c r="G83" t="s">
        <v>1245</v>
      </c>
      <c r="H83" t="str" cm="1">
        <f t="array" ref="H83">SLOOKUP(G83,A:A,A:A)</f>
        <v>Sechs Personen suchen einen Autor</v>
      </c>
      <c r="I83" t="str" cm="1">
        <f t="array" ref="I83">LLOOKUP(G83,A:A,A:A)</f>
        <v>Sechs Personen suchen einen Autor</v>
      </c>
      <c r="J83" t="s">
        <v>1439</v>
      </c>
      <c r="K83" t="s">
        <v>1440</v>
      </c>
      <c r="L83" t="str" cm="1">
        <f t="array" ref="L83">SLOOKUP(K83,A:A,A:A)</f>
        <v/>
      </c>
      <c r="M83" t="str" cm="1">
        <f t="array" ref="M83">LLOOKUP(K83,A:A,A:A)</f>
        <v>Sechs Personen suchen einen Autor</v>
      </c>
    </row>
    <row r="84" spans="1:13">
      <c r="A84" s="6" t="s">
        <v>715</v>
      </c>
      <c r="B84" t="s">
        <v>1055</v>
      </c>
      <c r="C84" t="s">
        <v>1056</v>
      </c>
      <c r="D84" t="str" cm="1">
        <f t="array" ref="D84">SLOOKUP(C84,A:A,A:A)</f>
        <v/>
      </c>
      <c r="E84" t="str" cm="1">
        <f t="array" ref="E84">LLOOKUP(C84,A:A,A:A)</f>
        <v>Seemarken</v>
      </c>
      <c r="F84" t="s">
        <v>1246</v>
      </c>
      <c r="G84" t="s">
        <v>1247</v>
      </c>
      <c r="H84" t="str" cm="1">
        <f t="array" ref="H84">SLOOKUP(G84,A:A,A:A)</f>
        <v/>
      </c>
      <c r="I84" t="str" cm="1">
        <f t="array" ref="I84">LLOOKUP(G84,A:A,A:A)</f>
        <v/>
      </c>
      <c r="J84" t="s">
        <v>1441</v>
      </c>
      <c r="K84" t="s">
        <v>1442</v>
      </c>
      <c r="L84" t="str" cm="1">
        <f t="array" ref="L84">SLOOKUP(K84,A:A,A:A)</f>
        <v/>
      </c>
      <c r="M84" t="str" cm="1">
        <f t="array" ref="M84">LLOOKUP(K84,A:A,A:A)</f>
        <v/>
      </c>
    </row>
    <row r="85" spans="1:13">
      <c r="A85" s="6" t="s">
        <v>534</v>
      </c>
      <c r="B85" t="s">
        <v>1057</v>
      </c>
      <c r="C85" t="s">
        <v>1058</v>
      </c>
      <c r="D85" t="str" cm="1">
        <f t="array" ref="D85">SLOOKUP(C85,A:A,A:A)</f>
        <v>So lebt der Mensch</v>
      </c>
      <c r="E85" t="str" cm="1">
        <f t="array" ref="E85">LLOOKUP(C85,A:A,A:A)</f>
        <v>So lebt der Mensch</v>
      </c>
      <c r="F85" t="s">
        <v>1248</v>
      </c>
      <c r="G85" t="s">
        <v>1249</v>
      </c>
      <c r="H85" t="str" cm="1">
        <f t="array" ref="H85">SLOOKUP(G85,A:A,A:A)</f>
        <v/>
      </c>
      <c r="I85" t="str" cm="1">
        <f t="array" ref="I85">LLOOKUP(G85,A:A,A:A)</f>
        <v>So lebt der Mensch</v>
      </c>
      <c r="J85" t="s">
        <v>1443</v>
      </c>
      <c r="K85" t="s">
        <v>1444</v>
      </c>
      <c r="L85" t="str" cm="1">
        <f t="array" ref="L85">SLOOKUP(K85,A:A,A:A)</f>
        <v/>
      </c>
      <c r="M85" t="str" cm="1">
        <f t="array" ref="M85">LLOOKUP(K85,A:A,A:A)</f>
        <v/>
      </c>
    </row>
    <row r="86" spans="1:13">
      <c r="A86" s="6" t="s">
        <v>686</v>
      </c>
      <c r="B86" t="s">
        <v>1059</v>
      </c>
      <c r="C86" t="s">
        <v>1060</v>
      </c>
      <c r="D86" t="str" cm="1">
        <f t="array" ref="D86">SLOOKUP(C86,A:A,A:A)</f>
        <v>Sophies Entscheidung</v>
      </c>
      <c r="E86" t="str" cm="1">
        <f t="array" ref="E86">LLOOKUP(C86,A:A,A:A)</f>
        <v>Sophies Entscheidung</v>
      </c>
      <c r="F86" t="s">
        <v>1250</v>
      </c>
      <c r="G86" t="s">
        <v>1251</v>
      </c>
      <c r="H86" t="str" cm="1">
        <f t="array" ref="H86">SLOOKUP(G86,A:A,A:A)</f>
        <v/>
      </c>
      <c r="I86" t="str" cm="1">
        <f t="array" ref="I86">LLOOKUP(G86,A:A,A:A)</f>
        <v>Sophies Entscheidung</v>
      </c>
      <c r="J86" t="s">
        <v>1445</v>
      </c>
      <c r="K86" t="s">
        <v>1446</v>
      </c>
      <c r="L86" t="str" cm="1">
        <f t="array" ref="L86">SLOOKUP(K86,A:A,A:A)</f>
        <v/>
      </c>
      <c r="M86" t="str" cm="1">
        <f t="array" ref="M86">LLOOKUP(K86,A:A,A:A)</f>
        <v>Sophies Entscheidung</v>
      </c>
    </row>
    <row r="87" spans="1:13">
      <c r="A87" s="6" t="s">
        <v>646</v>
      </c>
      <c r="B87" t="s">
        <v>1061</v>
      </c>
      <c r="C87" t="s">
        <v>1062</v>
      </c>
      <c r="D87" t="str" cm="1">
        <f t="array" ref="D87">SLOOKUP(C87,A:A,A:A)</f>
        <v/>
      </c>
      <c r="E87" t="str" cm="1">
        <f t="array" ref="E87">LLOOKUP(C87,A:A,A:A)</f>
        <v>Südseeballade</v>
      </c>
      <c r="F87" t="s">
        <v>1252</v>
      </c>
      <c r="G87" t="s">
        <v>1253</v>
      </c>
      <c r="H87" t="str" cm="1">
        <f t="array" ref="H87">SLOOKUP(G87,A:A,A:A)</f>
        <v/>
      </c>
      <c r="I87" t="str" cm="1">
        <f t="array" ref="I87">LLOOKUP(G87,A:A,A:A)</f>
        <v/>
      </c>
      <c r="J87" t="s">
        <v>1447</v>
      </c>
      <c r="K87" t="s">
        <v>1448</v>
      </c>
      <c r="L87" t="str" cm="1">
        <f t="array" ref="L87">SLOOKUP(K87,A:A,A:A)</f>
        <v/>
      </c>
      <c r="M87" t="str" cm="1">
        <f t="array" ref="M87">LLOOKUP(K87,A:A,A:A)</f>
        <v/>
      </c>
    </row>
    <row r="88" spans="1:13">
      <c r="A88" s="6" t="s">
        <v>562</v>
      </c>
      <c r="B88" t="s">
        <v>1063</v>
      </c>
      <c r="C88" t="s">
        <v>1064</v>
      </c>
      <c r="D88" t="str" cm="1">
        <f t="array" ref="D88">SLOOKUP(C88,A:A,A:A)</f>
        <v>Tagebuch der Anne Frank</v>
      </c>
      <c r="E88" t="str" cm="1">
        <f t="array" ref="E88">LLOOKUP(C88,A:A,A:A)</f>
        <v>Tagebuch der Anne Frank</v>
      </c>
      <c r="F88" t="s">
        <v>1254</v>
      </c>
      <c r="G88" t="s">
        <v>1255</v>
      </c>
      <c r="H88" t="str" cm="1">
        <f t="array" ref="H88">SLOOKUP(G88,A:A,A:A)</f>
        <v/>
      </c>
      <c r="I88" t="str" cm="1">
        <f t="array" ref="I88">LLOOKUP(G88,A:A,A:A)</f>
        <v>Tagebuch der Anne Frank</v>
      </c>
      <c r="J88" t="s">
        <v>1449</v>
      </c>
      <c r="K88" t="s">
        <v>1450</v>
      </c>
      <c r="L88" t="str" cm="1">
        <f t="array" ref="L88">SLOOKUP(K88,A:A,A:A)</f>
        <v/>
      </c>
      <c r="M88" t="str" cm="1">
        <f t="array" ref="M88">LLOOKUP(K88,A:A,A:A)</f>
        <v/>
      </c>
    </row>
    <row r="89" spans="1:13">
      <c r="A89" s="6" t="s">
        <v>670</v>
      </c>
      <c r="B89" t="s">
        <v>1065</v>
      </c>
      <c r="C89" t="s">
        <v>1066</v>
      </c>
      <c r="D89" t="str" cm="1">
        <f t="array" ref="D89">SLOOKUP(C89,A:A,A:A)</f>
        <v>Tagebücher 1887-1910</v>
      </c>
      <c r="E89" t="str" cm="1">
        <f t="array" ref="E89">LLOOKUP(C89,A:A,A:A)</f>
        <v>Tagebücher 1887-1910</v>
      </c>
      <c r="F89" t="s">
        <v>1256</v>
      </c>
      <c r="G89" t="s">
        <v>1257</v>
      </c>
      <c r="H89" t="str" cm="1">
        <f t="array" ref="H89">SLOOKUP(G89,A:A,A:A)</f>
        <v/>
      </c>
      <c r="I89" t="str" cm="1">
        <f t="array" ref="I89">LLOOKUP(G89,A:A,A:A)</f>
        <v>Tagebücher 1887-1910</v>
      </c>
      <c r="J89" t="s">
        <v>1451</v>
      </c>
      <c r="K89" t="s">
        <v>1452</v>
      </c>
      <c r="L89" t="str" cm="1">
        <f t="array" ref="L89">SLOOKUP(K89,A:A,A:A)</f>
        <v/>
      </c>
      <c r="M89" t="str" cm="1">
        <f t="array" ref="M89">LLOOKUP(K89,A:A,A:A)</f>
        <v/>
      </c>
    </row>
    <row r="90" spans="1:13">
      <c r="A90" s="6" t="s">
        <v>564</v>
      </c>
      <c r="B90" t="s">
        <v>1067</v>
      </c>
      <c r="C90" t="s">
        <v>1068</v>
      </c>
      <c r="D90" t="str" cm="1">
        <f t="array" ref="D90">SLOOKUP(C90,A:A,A:A)</f>
        <v>Traurige Tropen</v>
      </c>
      <c r="E90" t="str" cm="1">
        <f t="array" ref="E90">LLOOKUP(C90,A:A,A:A)</f>
        <v>Traurige Tropen</v>
      </c>
      <c r="F90" t="s">
        <v>1258</v>
      </c>
      <c r="G90" t="s">
        <v>1259</v>
      </c>
      <c r="H90" t="str" cm="1">
        <f t="array" ref="H90">SLOOKUP(G90,A:A,A:A)</f>
        <v/>
      </c>
      <c r="I90" t="str" cm="1">
        <f t="array" ref="I90">LLOOKUP(G90,A:A,A:A)</f>
        <v>Traurige Tropen</v>
      </c>
      <c r="J90" t="s">
        <v>1453</v>
      </c>
      <c r="K90" t="s">
        <v>1454</v>
      </c>
      <c r="L90" t="str" cm="1">
        <f t="array" ref="L90">SLOOKUP(K90,A:A,A:A)</f>
        <v/>
      </c>
      <c r="M90" t="str" cm="1">
        <f t="array" ref="M90">LLOOKUP(K90,A:A,A:A)</f>
        <v/>
      </c>
    </row>
    <row r="91" spans="1:13">
      <c r="A91" s="8" t="s">
        <v>828</v>
      </c>
      <c r="B91" t="s">
        <v>1069</v>
      </c>
      <c r="C91" t="s">
        <v>1070</v>
      </c>
      <c r="D91" t="str" cm="1">
        <f t="array" ref="D91">SLOOKUP(C91,A:A,A:A)</f>
        <v>Trilogie: Sexus, Plexus und Nexus</v>
      </c>
      <c r="E91" t="str" cm="1">
        <f t="array" ref="E91">LLOOKUP(C91,A:A,A:A)</f>
        <v>Trilogie: Sexus, Plexus und Nexus</v>
      </c>
      <c r="F91" t="s">
        <v>1260</v>
      </c>
      <c r="G91" t="s">
        <v>1261</v>
      </c>
      <c r="H91" t="str" cm="1">
        <f t="array" ref="H91">SLOOKUP(G91,A:A,A:A)</f>
        <v/>
      </c>
      <c r="I91" t="str" cm="1">
        <f t="array" ref="I91">LLOOKUP(G91,A:A,A:A)</f>
        <v>Trilogie: Sexus, Plexus und Nexus</v>
      </c>
      <c r="J91" t="s">
        <v>1455</v>
      </c>
      <c r="K91" t="s">
        <v>1456</v>
      </c>
      <c r="L91" t="str" cm="1">
        <f t="array" ref="L91">SLOOKUP(K91,A:A,A:A)</f>
        <v/>
      </c>
      <c r="M91" t="str" cm="1">
        <f t="array" ref="M91">LLOOKUP(K91,A:A,A:A)</f>
        <v>Trilogie: Sexus, Plexus und Nexus</v>
      </c>
    </row>
    <row r="92" spans="1:13">
      <c r="A92" s="6" t="s">
        <v>668</v>
      </c>
      <c r="B92" t="s">
        <v>1071</v>
      </c>
      <c r="C92" t="s">
        <v>1072</v>
      </c>
      <c r="D92" t="str" cm="1">
        <f t="array" ref="D92">SLOOKUP(C92,A:A,A:A)</f>
        <v/>
      </c>
      <c r="E92" t="str" cm="1">
        <f t="array" ref="E92">LLOOKUP(C92,A:A,A:A)</f>
        <v>Tropismen</v>
      </c>
      <c r="F92" t="s">
        <v>1262</v>
      </c>
      <c r="G92" t="s">
        <v>1263</v>
      </c>
      <c r="H92" t="str" cm="1">
        <f t="array" ref="H92">SLOOKUP(G92,A:A,A:A)</f>
        <v/>
      </c>
      <c r="I92" t="str" cm="1">
        <f t="array" ref="I92">LLOOKUP(G92,A:A,A:A)</f>
        <v/>
      </c>
      <c r="J92" t="s">
        <v>1457</v>
      </c>
      <c r="K92" t="s">
        <v>1458</v>
      </c>
      <c r="L92" t="str" cm="1">
        <f t="array" ref="L92">SLOOKUP(K92,A:A,A:A)</f>
        <v/>
      </c>
      <c r="M92" t="str" cm="1">
        <f t="array" ref="M92">LLOOKUP(K92,A:A,A:A)</f>
        <v/>
      </c>
    </row>
    <row r="93" spans="1:13">
      <c r="A93" s="6" t="s">
        <v>578</v>
      </c>
      <c r="B93" t="s">
        <v>1073</v>
      </c>
      <c r="C93" t="s">
        <v>1074</v>
      </c>
      <c r="D93" t="str" cm="1">
        <f t="array" ref="D93">SLOOKUP(C93,A:A,A:A)</f>
        <v/>
      </c>
      <c r="E93" t="str" cm="1">
        <f t="array" ref="E93">LLOOKUP(C93,A:A,A:A)</f>
        <v/>
      </c>
      <c r="F93" t="s">
        <v>1264</v>
      </c>
      <c r="G93" t="s">
        <v>1265</v>
      </c>
      <c r="H93" t="str" cm="1">
        <f t="array" ref="H93">SLOOKUP(G93,A:A,A:A)</f>
        <v/>
      </c>
      <c r="I93" t="str" cm="1">
        <f t="array" ref="I93">LLOOKUP(G93,A:A,A:A)</f>
        <v/>
      </c>
      <c r="J93" t="s">
        <v>1459</v>
      </c>
      <c r="K93" t="s">
        <v>1460</v>
      </c>
      <c r="L93" t="str" cm="1">
        <f t="array" ref="L93">SLOOKUP(K93,A:A,A:A)</f>
        <v/>
      </c>
      <c r="M93" t="str" cm="1">
        <f t="array" ref="M93">LLOOKUP(K93,A:A,A:A)</f>
        <v/>
      </c>
    </row>
    <row r="94" spans="1:13">
      <c r="A94" s="6" t="s">
        <v>719</v>
      </c>
      <c r="B94" t="s">
        <v>1075</v>
      </c>
      <c r="C94" t="s">
        <v>1075</v>
      </c>
      <c r="D94" t="str" cm="1">
        <f t="array" ref="D94">SLOOKUP(C94,A:A,A:A)</f>
        <v>Unter dem Vulkan</v>
      </c>
      <c r="E94" t="str" cm="1">
        <f t="array" ref="E94">LLOOKUP(C94,A:A,A:A)</f>
        <v>Unter dem Vulkan</v>
      </c>
      <c r="F94" t="s">
        <v>1266</v>
      </c>
      <c r="G94" t="s">
        <v>1267</v>
      </c>
      <c r="H94" t="str" cm="1">
        <f t="array" ref="H94">SLOOKUP(G94,A:A,A:A)</f>
        <v/>
      </c>
      <c r="I94" t="str" cm="1">
        <f t="array" ref="I94">LLOOKUP(G94,A:A,A:A)</f>
        <v>Unter dem Vulkan</v>
      </c>
      <c r="J94" t="s">
        <v>1461</v>
      </c>
      <c r="K94" t="s">
        <v>1462</v>
      </c>
      <c r="L94" t="str" cm="1">
        <f t="array" ref="L94">SLOOKUP(K94,A:A,A:A)</f>
        <v/>
      </c>
      <c r="M94" t="str" cm="1">
        <f t="array" ref="M94">LLOOKUP(K94,A:A,A:A)</f>
        <v>Unter dem Vulkan</v>
      </c>
    </row>
    <row r="95" spans="1:13">
      <c r="A95" s="6" t="s">
        <v>656</v>
      </c>
      <c r="B95" t="s">
        <v>1076</v>
      </c>
      <c r="C95" t="s">
        <v>1077</v>
      </c>
      <c r="D95" t="str" cm="1">
        <f t="array" ref="D95">SLOOKUP(C95,A:A,A:A)</f>
        <v/>
      </c>
      <c r="E95" t="str" cm="1">
        <f t="array" ref="E95">LLOOKUP(C95,A:A,A:A)</f>
        <v>Unterwegs</v>
      </c>
      <c r="F95" t="s">
        <v>1268</v>
      </c>
      <c r="G95" t="s">
        <v>1269</v>
      </c>
      <c r="H95" t="str" cm="1">
        <f t="array" ref="H95">SLOOKUP(G95,A:A,A:A)</f>
        <v/>
      </c>
      <c r="I95" t="str" cm="1">
        <f t="array" ref="I95">LLOOKUP(G95,A:A,A:A)</f>
        <v/>
      </c>
      <c r="J95" t="s">
        <v>1463</v>
      </c>
      <c r="K95" t="s">
        <v>1464</v>
      </c>
      <c r="L95" t="str" cm="1">
        <f t="array" ref="L95">SLOOKUP(K95,A:A,A:A)</f>
        <v/>
      </c>
      <c r="M95" t="str" cm="1">
        <f t="array" ref="M95">LLOOKUP(K95,A:A,A:A)</f>
        <v/>
      </c>
    </row>
    <row r="96" spans="1:13">
      <c r="A96" s="6" t="s">
        <v>596</v>
      </c>
      <c r="B96" t="s">
        <v>1078</v>
      </c>
      <c r="C96" t="s">
        <v>1079</v>
      </c>
      <c r="D96" t="str" cm="1">
        <f t="array" ref="D96">SLOOKUP(C96,A:A,A:A)</f>
        <v>Verwirrung der Gefühle</v>
      </c>
      <c r="E96" t="str" cm="1">
        <f t="array" ref="E96">LLOOKUP(C96,A:A,A:A)</f>
        <v>Verwirrung der Gefühle</v>
      </c>
      <c r="F96" t="s">
        <v>1270</v>
      </c>
      <c r="G96" t="s">
        <v>1271</v>
      </c>
      <c r="H96" t="str" cm="1">
        <f t="array" ref="H96">SLOOKUP(G96,A:A,A:A)</f>
        <v>Verwirrung der Gefühle</v>
      </c>
      <c r="I96" t="str" cm="1">
        <f t="array" ref="I96">LLOOKUP(G96,A:A,A:A)</f>
        <v>Verwirrung der Gefühle</v>
      </c>
      <c r="J96" t="s">
        <v>1465</v>
      </c>
      <c r="K96" t="s">
        <v>1466</v>
      </c>
      <c r="L96" t="str" cm="1">
        <f t="array" ref="L96">SLOOKUP(K96,A:A,A:A)</f>
        <v/>
      </c>
      <c r="M96" t="str" cm="1">
        <f t="array" ref="M96">LLOOKUP(K96,A:A,A:A)</f>
        <v>Verwirrung der Gefühle</v>
      </c>
    </row>
    <row r="97" spans="1:13">
      <c r="A97" s="6" t="s">
        <v>598</v>
      </c>
      <c r="B97" t="s">
        <v>1080</v>
      </c>
      <c r="C97" t="s">
        <v>1081</v>
      </c>
      <c r="D97" t="str" cm="1">
        <f t="array" ref="D97">SLOOKUP(C97,A:A,A:A)</f>
        <v/>
      </c>
      <c r="E97" t="str" cm="1">
        <f t="array" ref="E97">LLOOKUP(C97,A:A,A:A)</f>
        <v>Vom Winde verweht</v>
      </c>
      <c r="F97" t="s">
        <v>1272</v>
      </c>
      <c r="G97" t="s">
        <v>1273</v>
      </c>
      <c r="H97" t="str" cm="1">
        <f t="array" ref="H97">SLOOKUP(G97,A:A,A:A)</f>
        <v/>
      </c>
      <c r="I97" t="str" cm="1">
        <f t="array" ref="I97">LLOOKUP(G97,A:A,A:A)</f>
        <v>Vom Winde verweht</v>
      </c>
      <c r="J97" t="s">
        <v>1467</v>
      </c>
      <c r="K97" t="s">
        <v>1468</v>
      </c>
      <c r="L97" t="str" cm="1">
        <f t="array" ref="L97">SLOOKUP(K97,A:A,A:A)</f>
        <v/>
      </c>
      <c r="M97" t="str" cm="1">
        <f t="array" ref="M97">LLOOKUP(K97,A:A,A:A)</f>
        <v/>
      </c>
    </row>
    <row r="98" spans="1:13">
      <c r="A98" s="6" t="s">
        <v>548</v>
      </c>
      <c r="B98" t="s">
        <v>1082</v>
      </c>
      <c r="C98" t="s">
        <v>1082</v>
      </c>
      <c r="D98" t="str" cm="1">
        <f t="array" ref="D98">SLOOKUP(C98,A:A,A:A)</f>
        <v>Warten auf Godot</v>
      </c>
      <c r="E98" t="str" cm="1">
        <f t="array" ref="E98">LLOOKUP(C98,A:A,A:A)</f>
        <v>Warten auf Godot</v>
      </c>
      <c r="F98" t="s">
        <v>1274</v>
      </c>
      <c r="G98" t="s">
        <v>1275</v>
      </c>
      <c r="H98" t="str" cm="1">
        <f t="array" ref="H98">SLOOKUP(G98,A:A,A:A)</f>
        <v>Warten auf Godot</v>
      </c>
      <c r="I98" t="str" cm="1">
        <f t="array" ref="I98">LLOOKUP(G98,A:A,A:A)</f>
        <v>Warten auf Godot</v>
      </c>
      <c r="J98" t="s">
        <v>1469</v>
      </c>
      <c r="K98" t="s">
        <v>1470</v>
      </c>
      <c r="L98" t="str" cm="1">
        <f t="array" ref="L98">SLOOKUP(K98,A:A,A:A)</f>
        <v/>
      </c>
      <c r="M98" t="str" cm="1">
        <f t="array" ref="M98">LLOOKUP(K98,A:A,A:A)</f>
        <v>Warten auf Godot</v>
      </c>
    </row>
    <row r="99" spans="1:13">
      <c r="A99" s="6" t="s">
        <v>540</v>
      </c>
      <c r="B99" t="s">
        <v>1083</v>
      </c>
      <c r="C99" t="s">
        <v>1084</v>
      </c>
      <c r="D99" t="str" cm="1">
        <f t="array" ref="D99">SLOOKUP(C99,A:A,A:A)</f>
        <v>Wem die Stunde schlägt</v>
      </c>
      <c r="E99" t="str" cm="1">
        <f t="array" ref="E99">LLOOKUP(C99,A:A,A:A)</f>
        <v>Wem die Stunde schlägt</v>
      </c>
      <c r="F99" t="s">
        <v>1276</v>
      </c>
      <c r="G99" t="s">
        <v>1277</v>
      </c>
      <c r="H99" t="str" cm="1">
        <f t="array" ref="H99">SLOOKUP(G99,A:A,A:A)</f>
        <v/>
      </c>
      <c r="I99" t="str" cm="1">
        <f t="array" ref="I99">LLOOKUP(G99,A:A,A:A)</f>
        <v>Wem die Stunde schlägt</v>
      </c>
      <c r="J99" t="s">
        <v>1471</v>
      </c>
      <c r="K99" t="s">
        <v>1471</v>
      </c>
      <c r="L99" t="str" cm="1">
        <f t="array" ref="L99">SLOOKUP(K99,A:A,A:A)</f>
        <v/>
      </c>
      <c r="M99" t="str" cm="1">
        <f t="array" ref="M99">LLOOKUP(K99,A:A,A:A)</f>
        <v>Wem die Stunde schlägt</v>
      </c>
    </row>
    <row r="100" spans="1:13">
      <c r="A100" s="6" t="s">
        <v>594</v>
      </c>
      <c r="B100" t="s">
        <v>1085</v>
      </c>
      <c r="C100" t="s">
        <v>1086</v>
      </c>
      <c r="D100" t="str" cm="1">
        <f t="array" ref="D100">SLOOKUP(C100,A:A,A:A)</f>
        <v>Zazie in der Metro</v>
      </c>
      <c r="E100" t="str" cm="1">
        <f t="array" ref="E100">LLOOKUP(C100,A:A,A:A)</f>
        <v>Zazie in der Metro</v>
      </c>
      <c r="F100" t="s">
        <v>1278</v>
      </c>
      <c r="G100" t="s">
        <v>1279</v>
      </c>
      <c r="H100" t="str" cm="1">
        <f t="array" ref="H100">SLOOKUP(G100,A:A,A:A)</f>
        <v/>
      </c>
      <c r="I100" t="str" cm="1">
        <f t="array" ref="I100">LLOOKUP(G100,A:A,A:A)</f>
        <v>Zazie in der Metro</v>
      </c>
      <c r="J100" t="s">
        <v>1472</v>
      </c>
      <c r="K100" t="s">
        <v>1473</v>
      </c>
      <c r="L100" t="str" cm="1">
        <f t="array" ref="L100">SLOOKUP(K100,A:A,A:A)</f>
        <v/>
      </c>
      <c r="M100" t="str" cm="1">
        <f t="array" ref="M100">LLOOKUP(K100,A:A,A:A)</f>
        <v/>
      </c>
    </row>
    <row r="101" spans="1:13">
      <c r="A101" s="6" t="s">
        <v>688</v>
      </c>
      <c r="B101" t="s">
        <v>1087</v>
      </c>
      <c r="C101" t="s">
        <v>1088</v>
      </c>
      <c r="D101" t="str" cm="1">
        <f t="array" ref="D101">SLOOKUP(C101,A:A,A:A)</f>
        <v>Zigeunerromanzen</v>
      </c>
      <c r="E101" t="str" cm="1">
        <f t="array" ref="E101">LLOOKUP(C101,A:A,A:A)</f>
        <v>Zigeunerromanzen</v>
      </c>
      <c r="F101" t="s">
        <v>1280</v>
      </c>
      <c r="G101" t="s">
        <v>1281</v>
      </c>
      <c r="H101" t="str" cm="1">
        <f t="array" ref="H101">SLOOKUP(G101,A:A,A:A)</f>
        <v>Zigeunerromanzen</v>
      </c>
      <c r="I101" t="str" cm="1">
        <f t="array" ref="I101">LLOOKUP(G101,A:A,A:A)</f>
        <v>Zigeunerromanzen</v>
      </c>
      <c r="J101" t="s">
        <v>1474</v>
      </c>
      <c r="K101" t="s">
        <v>1475</v>
      </c>
      <c r="L101" t="str" cm="1">
        <f t="array" ref="L101">SLOOKUP(K101,A:A,A:A)</f>
        <v/>
      </c>
      <c r="M101" t="str" cm="1">
        <f t="array" ref="M101">LLOOKUP(K101,A:A,A:A)</f>
        <v>Zigeunerromanzen</v>
      </c>
    </row>
  </sheetData>
  <hyperlinks>
    <hyperlink ref="A21" r:id="rId1" tooltip="Der Fremde" display="https://de.wikipedia.org/wiki/Der_Fremde" xr:uid="{B325AAA5-0964-BD47-AB6D-168312C2EAB7}"/>
    <hyperlink ref="A7" r:id="rId2" tooltip="Auf der Suche nach der verlorenen Zeit" display="https://de.wikipedia.org/wiki/Auf_der_Suche_nach_der_verlorenen_Zeit" xr:uid="{773C8270-29CE-2642-ADD4-7AC9516F864B}"/>
    <hyperlink ref="A34" r:id="rId3" tooltip="Der Process" display="https://de.wikipedia.org/wiki/Der_Process" xr:uid="{F51F7D33-4C16-F14B-8AD0-6113FC701328}"/>
    <hyperlink ref="A29" r:id="rId4" tooltip="Der kleine Prinz" display="https://de.wikipedia.org/wiki/Der_kleine_Prinz" xr:uid="{47EB8B0B-CB99-1C4E-8687-72C5143D5104}"/>
    <hyperlink ref="A24" r:id="rId5" tooltip="Der große Meaulnes" display="https://de.wikipedia.org/wiki/Der_gro%C3%9Fe_Meaulnes" xr:uid="{2BB6CA80-70D6-BE45-B0A3-69748EC45F84}"/>
    <hyperlink ref="A35" r:id="rId6" tooltip="Der Schaum der Tage (Roman)" display="https://de.wikipedia.org/wiki/Der_Schaum_der_Tage_(Roman)" xr:uid="{F86716E4-8AA0-7B4A-BB8B-6021738F0EB8}"/>
    <hyperlink ref="A10" r:id="rId7" tooltip="Das andere Geschlecht" display="https://de.wikipedia.org/wiki/Das_andere_Geschlecht" xr:uid="{9C1CD7E7-8E56-2340-868B-3D37C463D868}"/>
    <hyperlink ref="A14" r:id="rId8" tooltip="Das Sein und das Nichts" display="https://de.wikipedia.org/wiki/Das_Sein_und_das_Nichts" xr:uid="{1B2C4FFE-5575-384B-8F7C-B9D8E6FEFE64}"/>
    <hyperlink ref="A33" r:id="rId9" tooltip="Der Name der Rose" display="https://de.wikipedia.org/wiki/Der_Name_der_Rose" xr:uid="{A008DD90-8499-394A-83FC-BB2E287AEB48}"/>
    <hyperlink ref="A17" r:id="rId10" tooltip="Der Archipel Gulag" display="https://de.wikipedia.org/wiki/Der_Archipel_Gulag" xr:uid="{75490BDA-08BF-8146-A1E5-6D94DC886EC3}"/>
    <hyperlink ref="A4" r:id="rId11" location="„Alcools“" tooltip="Guillaume Apollinaire" display="file:///wiki/Guillaume_Apollinaire - „Alcools“" xr:uid="{E98D8030-B559-CD41-A1CD-B87EA7FC8651}"/>
    <hyperlink ref="A19" r:id="rId12" tooltip="Der Blaue Lotos" display="https://de.wikipedia.org/wiki/Der_Blaue_Lotos" xr:uid="{7114E0DF-4778-5345-9EF9-5A0CD180BB73}"/>
    <hyperlink ref="A2" r:id="rId13" tooltip="1984 (Roman)" display="https://de.wikipedia.org/wiki/1984_(Roman)" xr:uid="{807ADBF9-8476-364E-93DE-796B9644FC31}"/>
    <hyperlink ref="A6" r:id="rId14" tooltip="Asterix der Gallier (Comic)" display="https://de.wikipedia.org/wiki/Asterix_der_Gallier_(Comic)" xr:uid="{6BD2D9F0-962B-2542-9EA6-EF44CA1D335C}"/>
    <hyperlink ref="A42" r:id="rId15" tooltip="Die kahle Sängerin" display="https://de.wikipedia.org/wiki/Die_kahle_S%C3%A4ngerin" xr:uid="{466A3DA3-DDCC-4449-A213-8498073A2DCB}"/>
    <hyperlink ref="A54" r:id="rId16" tooltip="Infantile Sexualität" display="https://de.wikipedia.org/wiki/Infantile_Sexualit%C3%A4t" xr:uid="{1655FBD7-E3B8-A447-ABF2-BCA3D9E33E74}"/>
    <hyperlink ref="A46" r:id="rId17" tooltip="Die schwarze Flamme (Seite nicht vorhanden)" display="https://de.wikipedia.org/w/index.php?title=Die_schwarze_Flamme&amp;action=edit&amp;redlink=1" xr:uid="{9D64CBF1-15BE-404E-B698-376A4D345D7E}"/>
    <hyperlink ref="A49" r:id="rId18" tooltip="Die Tatarenwüste" display="https://de.wikipedia.org/wiki/Die_Tatarenw%C3%BCste" xr:uid="{FA6C61BC-2C48-714E-B58E-90112F5C2185}"/>
    <hyperlink ref="A41" r:id="rId19" tooltip="Die Falschmünzer" display="https://de.wikipedia.org/wiki/Die_Falschm%C3%BCnzer" xr:uid="{F7393B1C-B766-6F4C-82E7-60857FEFF6A0}"/>
    <hyperlink ref="A28" r:id="rId20" tooltip="Der Husar auf dem Dach (Roman)" display="https://de.wikipedia.org/wiki/Der_Husar_auf_dem_Dach_(Roman)" xr:uid="{78FFC53A-5DFE-5A4A-AA5F-372878CDE673}"/>
    <hyperlink ref="A45" r:id="rId21" tooltip="Die Schöne des Herrn" display="https://de.wikipedia.org/wiki/Die_Sch%C3%B6ne_des_Herrn" xr:uid="{9B2BD6CB-C07A-A445-8226-BB97090982C2}"/>
    <hyperlink ref="A48" r:id="rId22" tooltip="Die Tat der Thérèse Desqueyroux" display="https://de.wikipedia.org/wiki/Die_Tat_der_Th%C3%A9r%C3%A8se_Desqueyroux" xr:uid="{382584A8-CCF8-4E4D-A0B3-77EB678698AC}"/>
    <hyperlink ref="A38" r:id="rId23" tooltip="Der Zauberberg" display="https://de.wikipedia.org/wiki/Der_Zauberberg" xr:uid="{C3E33BA5-72C7-F746-B7C3-FEB4B28732ED}"/>
    <hyperlink ref="A9" r:id="rId24" tooltip="Bonjour tristesse (Roman)" display="https://de.wikipedia.org/wiki/Bonjour_tristesse_(Roman)" xr:uid="{A24E76F5-F64A-5E41-962A-178491F82C80}"/>
    <hyperlink ref="A13" r:id="rId25" tooltip="Das Schweigen des Meeres" display="https://de.wikipedia.org/wiki/Das_Schweigen_des_Meeres" xr:uid="{87A08D8D-8EC2-AB42-A54C-8EFDB695EAF2}"/>
    <hyperlink ref="A11" r:id="rId26" tooltip="Das Leben Gebrauchsanweisung" display="https://de.wikipedia.org/wiki/Das_Leben_Gebrauchsanweisung" xr:uid="{388CDF91-DDC2-1646-AA11-8F9C40F7DE59}"/>
    <hyperlink ref="A27" r:id="rId27" tooltip="Der Hund von Baskerville" display="https://de.wikipedia.org/wiki/Der_Hund_von_Baskerville" xr:uid="{6398B286-47AA-3148-B2FD-08E7664B6AF5}"/>
    <hyperlink ref="A47" r:id="rId28" tooltip="Die Sonne Satans" display="https://de.wikipedia.org/wiki/Die_Sonne_Satans" xr:uid="{8DE40C95-A7F9-3346-B974-65991298D981}"/>
    <hyperlink ref="A23" r:id="rId29" tooltip="Der große Gatsby" display="https://de.wikipedia.org/wiki/Der_gro%C3%9Fe_Gatsby" xr:uid="{A087B5AD-D122-6E4A-B4DD-1095829EAD7F}"/>
    <hyperlink ref="A36" r:id="rId30" tooltip="Der Scherz" display="https://de.wikipedia.org/wiki/Der_Scherz" xr:uid="{9CE4215C-A34D-1048-AEAD-E99322DDF9C1}"/>
    <hyperlink ref="A50" r:id="rId31" tooltip="Die Verachtung" display="https://de.wikipedia.org/wiki/Die_Verachtung" xr:uid="{B0A3C603-47FF-2649-8774-5367F0C7296C}"/>
    <hyperlink ref="A3" r:id="rId32" tooltip="Alibi (Roman)" display="https://de.wikipedia.org/wiki/Alibi_(Roman)" xr:uid="{892E31FC-57C8-3541-9302-05C14E6E4752}"/>
    <hyperlink ref="A8" r:id="rId33" tooltip="Aurélien (Roman)" display="https://de.wikipedia.org/wiki/Aur%C3%A9lien_(Roman)" xr:uid="{7AA24DAD-9E3D-A64B-8553-CB9BCC936C25}"/>
    <hyperlink ref="A37" r:id="rId34" tooltip="Der seidene Schuh (Seite nicht vorhanden)" display="https://de.wikipedia.org/w/index.php?title=Der_seidene_Schuh&amp;action=edit&amp;redlink=1" xr:uid="{2901BEEF-018B-4242-BBAD-30DE4CA1DAC2}"/>
    <hyperlink ref="A18" r:id="rId35" tooltip="Der aufhaltsame Aufstieg des Arturo Ui" display="https://de.wikipedia.org/wiki/Der_aufhaltsame_Aufstieg_des_Arturo_Ui" xr:uid="{605A708C-C027-9A4B-9F8D-100EF99FBA45}"/>
    <hyperlink ref="A30" r:id="rId36" tooltip="Krieg der Welten" display="https://de.wikipedia.org/wiki/Krieg_der_Welten" xr:uid="{C0FB921E-EAD7-104C-991C-2119C4C454D0}"/>
    <hyperlink ref="A26" r:id="rId37" tooltip="Der Herr der Ringe" display="https://de.wikipedia.org/wiki/Der_Herr_der_Ringe" xr:uid="{97B68A20-422B-E842-B4EB-2F1C0C8B6CA7}"/>
    <hyperlink ref="A5" r:id="rId38" tooltip="Am Nullpunkt der Literatur" display="https://de.wikipedia.org/wiki/Am_Nullpunkt_der_Literatur" xr:uid="{63AB1A27-2A27-6B40-B90D-FC6BA78D8C18}"/>
    <hyperlink ref="A51" r:id="rId39" tooltip="Die verlorene Ehre der Katharina Blum" display="https://de.wikipedia.org/wiki/Die_verlorene_Ehre_der_Katharina_Blum" xr:uid="{7661B37F-4D87-6E4B-8457-3466471BDF84}"/>
    <hyperlink ref="A16" r:id="rId40" tooltip="Das Ufer der Syrten (Seite nicht vorhanden)" display="https://de.wikipedia.org/w/index.php?title=Das_Ufer_der_Syrten&amp;action=edit&amp;redlink=1" xr:uid="{779EBC14-EF77-3046-A0A8-213844CCADDE}"/>
    <hyperlink ref="A44" r:id="rId41" tooltip="Die Ordnung der Dinge" display="https://de.wikipedia.org/wiki/Die_Ordnung_der_Dinge" xr:uid="{A89BC396-157B-5C49-9D96-368044137CB1}"/>
    <hyperlink ref="A53" r:id="rId42" tooltip="Die wunderbare Reise des kleinen Nils Holgersson mit den Wildgänsen" display="https://de.wikipedia.org/wiki/Die_wunderbare_Reise_des_kleinen_Nils_Holgersson_mit_den_Wildg%C3%A4nsen" xr:uid="{F668B009-34E3-DF49-820E-8271734779CA}"/>
    <hyperlink ref="A43" r:id="rId43" tooltip="Die Mars-Chroniken" display="https://de.wikipedia.org/wiki/Die_Mars-Chroniken" xr:uid="{BF109E91-9BFC-3D46-8F19-D01143992276}"/>
    <hyperlink ref="A52" r:id="rId44" tooltip="Die Verzückung der Lol V. Stein (Seite nicht vorhanden)" display="https://de.wikipedia.org/w/index.php?title=Die_Verz%C3%BCckung_der_Lol_V._Stein&amp;action=edit&amp;redlink=1" xr:uid="{15744A43-1A35-D943-AA08-B899D7369E64}"/>
    <hyperlink ref="A12" r:id="rId45" tooltip="Das Protokoll (Seite nicht vorhanden)" display="https://de.wikipedia.org/w/index.php?title=Das_Protokoll&amp;action=edit&amp;redlink=1" xr:uid="{F4FFC195-2773-DD4B-846F-80A88C2DE444}"/>
    <hyperlink ref="A15" r:id="rId46" tooltip="Das Theater und sein Double (Seite nicht vorhanden)" display="https://de.wikipedia.org/w/index.php?title=Das_Theater_und_sein_Double&amp;action=edit&amp;redlink=1" xr:uid="{C242D362-3A98-3A4A-A944-1776F496997C}"/>
    <hyperlink ref="A22" r:id="rId47" tooltip="Der General der toten Armee (Seite nicht vorhanden)" display="https://de.wikipedia.org/w/index.php?title=Der_General_der_toten_Armee&amp;action=edit&amp;redlink=1" xr:uid="{7A9DF74F-B520-7A45-B023-D0E68ABA6B38}"/>
    <hyperlink ref="A31" r:id="rId48" tooltip="Der Mann ohne Eigenschaften" display="https://de.wikipedia.org/wiki/Der_Mann_ohne_Eigenschaften" xr:uid="{409A681E-E018-804E-94FC-E726D1FE7CBE}"/>
    <hyperlink ref="A20" r:id="rId49" tooltip="Der Fänger im Roggen" display="https://de.wikipedia.org/wiki/Der_F%C3%A4nger_im_Roggen" xr:uid="{EAB745C1-CA7A-904A-984A-26A0BFCB7925}"/>
    <hyperlink ref="A39" r:id="rId50" tooltip="Blake und Mortimer" display="https://de.wikipedia.org/wiki/Blake_und_Mortimer" xr:uid="{CDE35106-5A08-A54E-BAD1-A3BEF9D0E050}"/>
    <hyperlink ref="A40" r:id="rId51" tooltip="Die Aufzeichnungen des Malte Laurids Brigge" display="https://de.wikipedia.org/wiki/Die_Aufzeichnungen_des_Malte_Laurids_Brigge" xr:uid="{68FDE244-8179-B749-AD7B-25A544BDB095}"/>
    <hyperlink ref="A32" r:id="rId52" tooltip="Der Meister und Margarita" display="https://de.wikipedia.org/wiki/Der_Meister_und_Margarita" xr:uid="{9C213702-143D-D94B-9BCD-E8FE0F0DF534}"/>
    <hyperlink ref="A25" r:id="rId53" tooltip="Der große Schlaf" display="https://de.wikipedia.org/wiki/Der_gro%C3%9Fe_Schlaf" xr:uid="{97B130DE-8961-AA49-BB94-65D405D1103E}"/>
    <hyperlink ref="A85" r:id="rId54" tooltip="So lebt der Mensch" display="https://de.wikipedia.org/wiki/So_lebt_der_Mensch" xr:uid="{20A8BAEB-12A7-3543-A903-424A59C8D966}"/>
    <hyperlink ref="A79" r:id="rId55" tooltip="Reise ans Ende der Nacht" display="https://de.wikipedia.org/wiki/Reise_ans_Ende_der_Nacht" xr:uid="{8619C272-E746-4349-B63B-53EF6C3B590A}"/>
    <hyperlink ref="A59" r:id="rId56" tooltip="Früchte des Zorns" display="https://de.wikipedia.org/wiki/Fr%C3%BCchte_des_Zorns" xr:uid="{D5836850-E693-F14D-9274-93348E48D08E}"/>
    <hyperlink ref="A99" r:id="rId57" tooltip="Wem die Stunde schlägt" display="https://de.wikipedia.org/wiki/Wem_die_Stunde_schl%C3%A4gt" xr:uid="{71600659-A902-8A44-BE59-4F9F039397F9}"/>
    <hyperlink ref="A98" r:id="rId58" tooltip="Warten auf Godot" display="https://de.wikipedia.org/wiki/Warten_auf_Godot" xr:uid="{E4600092-F95C-B64E-8106-2F2418748C90}"/>
    <hyperlink ref="A78" r:id="rId59" tooltip="Paroles (Seite nicht vorhanden)" display="https://de.wikipedia.org/w/index.php?title=Paroles&amp;action=edit&amp;redlink=1" xr:uid="{758B22F9-252B-C04B-A5D1-B4091E90ED1E}"/>
    <hyperlink ref="A88" r:id="rId60" tooltip="Tagebuch der Anne Frank" display="https://de.wikipedia.org/wiki/Tagebuch_der_Anne_Frank" xr:uid="{CE93073C-83EA-874D-BA14-926881645583}"/>
    <hyperlink ref="A90" r:id="rId61" tooltip="Traurige Tropen" display="https://de.wikipedia.org/wiki/Traurige_Tropen" xr:uid="{6004AA48-AFE3-A84D-A076-4C2C530A0EF6}"/>
    <hyperlink ref="A81" r:id="rId62" tooltip="Schöne neue Welt" display="https://de.wikipedia.org/wiki/Sch%C3%B6ne_neue_Welt" xr:uid="{078142EA-2E22-3540-BA5D-B489BDB9CB31}"/>
    <hyperlink ref="A68" r:id="rId63" tooltip="Lolita (Roman)" display="https://de.wikipedia.org/wiki/Lolita_(Roman)" xr:uid="{749151DE-017F-3149-BB01-970AF0F67DE5}"/>
    <hyperlink ref="A93" r:id="rId64" tooltip="Ulysses" display="https://de.wikipedia.org/wiki/Ulysses" xr:uid="{F02842B1-2430-BA40-88A5-3341F4CA074B}"/>
    <hyperlink ref="A63" r:id="rId65" tooltip="Hundert Jahre Einsamkeit" display="https://de.wikipedia.org/wiki/Hundert_Jahre_Einsamkeit" xr:uid="{49F9A51E-617F-AF4B-9BE8-873244BAA4B0}"/>
    <hyperlink ref="A80" r:id="rId66" tooltip="Schall und Wahn" display="https://de.wikipedia.org/wiki/Schall_und_Wahn" xr:uid="{7ABA7821-E613-8840-976A-011C4CC4B49B}"/>
    <hyperlink ref="A100" r:id="rId67" tooltip="Zazie in der Metro" display="https://de.wikipedia.org/wiki/Zazie_in_der_Metro" xr:uid="{36C4994A-3A3C-A940-9418-740633B04F04}"/>
    <hyperlink ref="A96" r:id="rId68" tooltip="Verwirrung der Gefühle" display="https://de.wikipedia.org/wiki/Verwirrung_der_Gef%C3%BChle" xr:uid="{07AB5C32-D9C0-704A-8CEE-87527C627F4B}"/>
    <hyperlink ref="A97" r:id="rId69" tooltip="Vom Winde verweht" display="https://de.wikipedia.org/wiki/Vom_Winde_verweht" xr:uid="{5BD0053F-EF4D-D040-9E06-BB8C7ED30A2F}"/>
    <hyperlink ref="A66" r:id="rId70" tooltip="Lady Chatterley" display="https://de.wikipedia.org/wiki/Lady_Chatterley" xr:uid="{39506A77-2DE6-3243-90CF-9300053CF980}"/>
    <hyperlink ref="A75" r:id="rId71" tooltip="Nadja (Roman)" display="https://de.wikipedia.org/wiki/Nadja_(Roman)" xr:uid="{47504250-F898-914F-896D-EA749297A71D}"/>
    <hyperlink ref="A83" r:id="rId72" tooltip="Sechs Personen suchen einen Autor" display="https://de.wikipedia.org/wiki/Sechs_Personen_suchen_einen_Autor" xr:uid="{643F35C2-550A-2341-BB5B-CD5C90E6C3A2}"/>
    <hyperlink ref="A58" r:id="rId73" tooltip="Freitag oder Im Schoss des Pazifik (Seite nicht vorhanden)" display="https://de.wikipedia.org/w/index.php?title=Freitag_oder_Im_Schoss_des_Pazifik&amp;action=edit&amp;redlink=1" xr:uid="{DA5B7065-9D66-EB4E-A4D9-D65AD3BD82BA}"/>
    <hyperlink ref="A64" r:id="rId74" tooltip="Ist das ein Mensch?" display="https://de.wikipedia.org/wiki/Ist_das_ein_Mensch%3F" xr:uid="{12595846-36C3-EE43-BAB3-64B5EB2B3424}"/>
    <hyperlink ref="A67" r:id="rId75" tooltip="Les Vrilles de la vigne (Seite nicht vorhanden)" display="https://de.wikipedia.org/w/index.php?title=Les_Vrilles_de_la_vigne&amp;action=edit&amp;redlink=1" xr:uid="{7E2F0B92-B3E0-D943-A3C8-587182D7BF13}"/>
    <hyperlink ref="A62" r:id="rId76" tooltip="Hauptstadt der Schmerzen (Seite nicht vorhanden)" display="https://de.wikipedia.org/w/index.php?title=Hauptstadt_der_Schmerzen&amp;action=edit&amp;redlink=1" xr:uid="{D499C5BF-C454-9C42-B1BB-70DFD7609FAE}"/>
    <hyperlink ref="A72" r:id="rId77" tooltip="Martin Eden" display="https://de.wikipedia.org/wiki/Martin_Eden" xr:uid="{F6CCE727-80F5-F04C-AD12-357F1D776FB2}"/>
    <hyperlink ref="A87" r:id="rId78" tooltip="Corto Maltese" display="https://de.wikipedia.org/wiki/Corto_Maltese" xr:uid="{88E6CA29-FE96-6940-BF2F-A063F26774DA}"/>
    <hyperlink ref="A95" r:id="rId79" tooltip="Unterwegs" display="https://de.wikipedia.org/wiki/Unterwegs" xr:uid="{C993E0F6-E88C-0D46-B0C4-1EF59139E2BD}"/>
    <hyperlink ref="A55" r:id="rId80" tooltip="Ein Zimmer für sich allein" display="https://de.wikipedia.org/wiki/Ein_Zimmer_f%C3%BCr_sich_allein" xr:uid="{06EFBBAF-250E-4442-82B0-C0453F2FDCC3}"/>
    <hyperlink ref="A92" r:id="rId81" tooltip="Tropismen (Seite nicht vorhanden)" display="https://de.wikipedia.org/w/index.php?title=Tropismen&amp;action=edit&amp;redlink=1" xr:uid="{535FA57F-D45C-C041-A977-8C68F57C6734}"/>
    <hyperlink ref="A89" r:id="rId82" tooltip="Tagebücher 1887-1910 (Seite nicht vorhanden)" display="https://de.wikipedia.org/w/index.php?title=Tageb%C3%BCcher_1887-1910&amp;action=edit&amp;redlink=1" xr:uid="{53CD1583-597E-3943-87BF-ACB326287400}"/>
    <hyperlink ref="A69" r:id="rId83" tooltip="Lord Jim" display="https://de.wikipedia.org/wiki/Lord_Jim" xr:uid="{BB57352E-2DDA-E649-B306-716308A60749}"/>
    <hyperlink ref="A82" r:id="rId84" tooltip="Schriften (Lacan) (Seite nicht vorhanden)" display="https://de.wikipedia.org/w/index.php?title=Schriften_(Lacan)&amp;action=edit&amp;redlink=1" xr:uid="{245FE7BA-11AD-064D-BBFD-34C562D84713}"/>
    <hyperlink ref="A71" r:id="rId85" tooltip="Manhattan Transfer (Roman)" display="https://de.wikipedia.org/wiki/Manhattan_Transfer_(Roman)" xr:uid="{FAC2D537-60AF-014A-830B-466BB0B1FACE}"/>
    <hyperlink ref="A57" r:id="rId86" tooltip="Fiktionen" display="https://de.wikipedia.org/wiki/Fiktionen" xr:uid="{532A8CF7-C466-AB4B-94A0-3723C12D6A35}"/>
    <hyperlink ref="A74" r:id="rId87" tooltip="Moloch. Das Leben des Moravagine" display="https://de.wikipedia.org/wiki/Moloch._Das_Leben_des_Moravagine" xr:uid="{05B1B6A1-B2DB-FD43-B220-B570EA1E5AF9}"/>
    <hyperlink ref="A86" r:id="rId88" tooltip="Sophies Entscheidung" display="https://de.wikipedia.org/wiki/Sophies_Entscheidung" xr:uid="{C5367B0B-AC04-E54C-8B0B-28B3BD01E37E}"/>
    <hyperlink ref="A101" r:id="rId89" tooltip="Zigeunerromanzen" display="https://de.wikipedia.org/wiki/Zigeunerromanzen" xr:uid="{E5E25E8E-5C2B-1B4B-8971-F062260B530E}"/>
    <hyperlink ref="A70" r:id="rId90" tooltip="Maigret und Pietr der Lette" display="https://de.wikipedia.org/wiki/Maigret_und_Pietr_der_Lette" xr:uid="{1D6E355E-2FBA-094A-92A4-17BC780F397C}"/>
    <hyperlink ref="A76" r:id="rId91" tooltip="Notre-Dame-des-Fleurs (Seite nicht vorhanden)" display="https://de.wikipedia.org/w/index.php?title=Notre-Dame-des-Fleurs&amp;action=edit&amp;redlink=1" xr:uid="{E1DD57D6-19EF-944C-8048-AA5D15919D7C}"/>
    <hyperlink ref="A60" r:id="rId92" tooltip="Fureur et mystère (Seite nicht vorhanden)" display="https://de.wikipedia.org/w/index.php?title=Fureur_et_myst%C3%A8re&amp;action=edit&amp;redlink=1" xr:uid="{A6478374-8A56-9341-85DD-A38DA27E0E0B}"/>
    <hyperlink ref="A65" r:id="rId93" tooltip="Keine Orchideen für Mrs. Blandish (Seite nicht vorhanden)" display="https://de.wikipedia.org/w/index.php?title=Keine_Orchideen_f%C3%BCr_Mrs._Blandish&amp;action=edit&amp;redlink=1" xr:uid="{D1244510-C1AC-BF46-8FD5-80B35442C475}"/>
    <hyperlink ref="A77" r:id="rId94" tooltip="Paris-Rom oder Die Modifikation (Seite nicht vorhanden)" display="https://de.wikipedia.org/w/index.php?title=Paris-Rom_oder_Die_Modifikation&amp;action=edit&amp;redlink=1" xr:uid="{B22C5D6C-56E1-FF41-9F7B-F96B62CDDEE8}"/>
    <hyperlink ref="A56" r:id="rId95" tooltip="Elemente und Ursprünge totaler Herrschaft" display="https://de.wikipedia.org/wiki/Elemente_und_Urspr%C3%BCnge_totaler_Herrschaft" xr:uid="{CF338D8E-8BE5-2A47-8688-CA4775135B4F}"/>
    <hyperlink ref="A84" r:id="rId96" tooltip="Seemarken (Seite nicht vorhanden)" display="https://de.wikipedia.org/w/index.php?title=Seemarken&amp;action=edit&amp;redlink=1" xr:uid="{B83B4A6D-A984-CB44-9BD2-1E9048299B0B}"/>
    <hyperlink ref="A61" r:id="rId97" tooltip="Gaston (Comic)" display="https://de.wikipedia.org/wiki/Gaston_(Comic)" xr:uid="{C9BB5948-AFF2-9743-B380-1E604B78A14C}"/>
    <hyperlink ref="A94" r:id="rId98" tooltip="Unter dem Vulkan" display="https://de.wikipedia.org/wiki/Unter_dem_Vulkan" xr:uid="{BA1704EA-C8E8-6A4A-866A-308D1165B476}"/>
    <hyperlink ref="A73" r:id="rId99" tooltip="Mitternachtskinder" display="https://de.wikipedia.org/wiki/Mitternachtskinder" xr:uid="{F35A8296-48B1-2D4B-BB34-D05B8174FB02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D1686-E40E-234E-AA26-E291A09B9F4C}">
  <sheetPr codeName="Sheet4"/>
  <dimension ref="A1:Q101"/>
  <sheetViews>
    <sheetView topLeftCell="F1" workbookViewId="0">
      <selection activeCell="I18" sqref="I18"/>
    </sheetView>
  </sheetViews>
  <sheetFormatPr baseColWidth="10" defaultRowHeight="14"/>
  <cols>
    <col min="1" max="1" width="38.33203125" customWidth="1"/>
    <col min="2" max="3" width="10.5" customWidth="1"/>
    <col min="4" max="4" width="25.6640625" customWidth="1"/>
    <col min="5" max="5" width="24.6640625" customWidth="1"/>
    <col min="6" max="7" width="10.5" customWidth="1"/>
    <col min="8" max="8" width="25" customWidth="1"/>
    <col min="9" max="9" width="25.6640625" customWidth="1"/>
    <col min="10" max="10" width="10.5" customWidth="1"/>
    <col min="11" max="11" width="10.1640625" customWidth="1"/>
    <col min="12" max="12" width="28" customWidth="1"/>
    <col min="13" max="13" width="33.5" customWidth="1"/>
  </cols>
  <sheetData>
    <row r="1" spans="1:17">
      <c r="A1" s="1" t="s">
        <v>826</v>
      </c>
      <c r="B1" s="1" t="s">
        <v>839</v>
      </c>
      <c r="C1" s="1" t="s">
        <v>840</v>
      </c>
      <c r="D1" s="2" t="s">
        <v>856</v>
      </c>
      <c r="E1" s="2" t="s">
        <v>857</v>
      </c>
      <c r="F1" s="1" t="s">
        <v>841</v>
      </c>
      <c r="G1" s="1" t="s">
        <v>842</v>
      </c>
      <c r="H1" s="2" t="s">
        <v>858</v>
      </c>
      <c r="I1" s="2" t="s">
        <v>858</v>
      </c>
      <c r="J1" s="1" t="s">
        <v>843</v>
      </c>
      <c r="K1" s="1" t="s">
        <v>843</v>
      </c>
      <c r="L1" s="2" t="s">
        <v>859</v>
      </c>
      <c r="M1" s="2" t="s">
        <v>859</v>
      </c>
      <c r="N1" s="9"/>
      <c r="O1" s="9"/>
    </row>
    <row r="2" spans="1:17">
      <c r="A2" s="11" t="s">
        <v>825</v>
      </c>
      <c r="B2" t="str">
        <f ca="1">REPLACE(A2,RANDBETWEEN(1,LEN(A2)),1,CHAR(RANDBETWEEN(97,122)))</f>
        <v>1m84</v>
      </c>
      <c r="C2" t="str">
        <f ca="1">REPLACE(B2,RANDBETWEEN(1,LEN(B2)),1,CHAR(RANDBETWEEN(97,122)))</f>
        <v>1mf4</v>
      </c>
      <c r="D2" t="str" cm="1">
        <f t="array" aca="1" ref="D2" ca="1">SLOOKUP(C2,A:A,A:A,0.5)</f>
        <v/>
      </c>
      <c r="E2" t="str" cm="1">
        <f t="array" aca="1" ref="E2" ca="1">LLOOKUP(C2,A:A,A:A,0.5)</f>
        <v>1984</v>
      </c>
      <c r="F2" t="str">
        <f ca="1">REPLACE(C2,RANDBETWEEN(1,LEN(C2)),1,CHAR(RANDBETWEEN(97,122)))</f>
        <v>wmf4</v>
      </c>
      <c r="G2" t="str">
        <f ca="1">REPLACE(F2,RANDBETWEEN(1,LEN(F2)),1,CHAR(RANDBETWEEN(97,122)))</f>
        <v>omf4</v>
      </c>
      <c r="H2" t="str" cm="1">
        <f t="array" aca="1" ref="H2" ca="1">SLOOKUP(G2,A:A,A:A,0.5)</f>
        <v/>
      </c>
      <c r="I2" t="str" cm="1">
        <f t="array" aca="1" ref="I2" ca="1">LLOOKUP(G2,A:A,A:A,0.5)</f>
        <v>Paris-Rom oder Die Modifikation</v>
      </c>
      <c r="J2" t="str">
        <f ca="1">REPLACE(G2,RANDBETWEEN(1,LEN(G2)),1,CHAR(RANDBETWEEN(97,122)))</f>
        <v>smf4</v>
      </c>
      <c r="K2" t="str">
        <f ca="1">REPLACE(J2,RANDBETWEEN(1,LEN(J2)),1,CHAR(RANDBETWEEN(97,122)))</f>
        <v>smy4</v>
      </c>
      <c r="L2" t="str" cm="1">
        <f t="array" aca="1" ref="L2" ca="1">SLOOKUP(K2,A:A,A:A,0.5)</f>
        <v/>
      </c>
      <c r="M2" t="str" cm="1">
        <f t="array" aca="1" ref="M2" ca="1">LLOOKUP(K2,A:A,A:A,0.5)</f>
        <v>Das Ufer der Syrten</v>
      </c>
      <c r="N2" s="10"/>
      <c r="O2" s="10" t="s">
        <v>855</v>
      </c>
    </row>
    <row r="3" spans="1:17">
      <c r="A3" s="11" t="s">
        <v>620</v>
      </c>
      <c r="B3" t="s">
        <v>1476</v>
      </c>
      <c r="C3" t="s">
        <v>1477</v>
      </c>
      <c r="D3" t="str" cm="1">
        <f t="array" ref="D3">SLOOKUP(C3,A:A,A:A,0.5)</f>
        <v>Alibi</v>
      </c>
      <c r="E3" t="str" cm="1">
        <f t="array" ref="E3">LLOOKUP(C3,A:A,A:A,0.5)</f>
        <v>Alibi</v>
      </c>
      <c r="F3" t="s">
        <v>1666</v>
      </c>
      <c r="G3" t="s">
        <v>1667</v>
      </c>
      <c r="H3" t="str" cm="1">
        <f t="array" ref="H3">SLOOKUP(G3,A:A,A:A,0.5)</f>
        <v>Alibi</v>
      </c>
      <c r="I3" t="str" cm="1">
        <f t="array" ref="I3">LLOOKUP(G3,A:A,A:A,0.5)</f>
        <v>Alibi</v>
      </c>
      <c r="J3" t="s">
        <v>1852</v>
      </c>
      <c r="K3" t="s">
        <v>1853</v>
      </c>
      <c r="L3" t="str" cm="1">
        <f t="array" ref="L3">SLOOKUP(K3,A:A,A:A,0.5)</f>
        <v/>
      </c>
      <c r="M3" t="str" cm="1">
        <f t="array" ref="M3">LLOOKUP(K3,A:A,A:A,0.5)</f>
        <v>Die Abenteuer von Blake und Mortimer</v>
      </c>
      <c r="O3" s="10" t="s">
        <v>860</v>
      </c>
      <c r="P3" s="10"/>
    </row>
    <row r="4" spans="1:17">
      <c r="A4" s="11" t="s">
        <v>558</v>
      </c>
      <c r="B4" t="s">
        <v>1478</v>
      </c>
      <c r="C4" t="s">
        <v>1479</v>
      </c>
      <c r="D4" t="str" cm="1">
        <f t="array" ref="D4">SLOOKUP(C4,A:A,A:A,0.5)</f>
        <v>Alkohol</v>
      </c>
      <c r="E4" t="str" cm="1">
        <f t="array" ref="E4">LLOOKUP(C4,A:A,A:A,0.5)</f>
        <v>Alkohol</v>
      </c>
      <c r="F4" t="s">
        <v>1668</v>
      </c>
      <c r="G4" t="s">
        <v>1669</v>
      </c>
      <c r="H4" t="str" cm="1">
        <f t="array" ref="H4">SLOOKUP(G4,A:A,A:A,0.5)</f>
        <v/>
      </c>
      <c r="I4" t="str" cm="1">
        <f t="array" ref="I4">LLOOKUP(G4,A:A,A:A,0.5)</f>
        <v>Alkohol</v>
      </c>
      <c r="J4" t="s">
        <v>1854</v>
      </c>
      <c r="K4" t="s">
        <v>1854</v>
      </c>
      <c r="L4" t="str" cm="1">
        <f t="array" ref="L4">SLOOKUP(K4,A:A,A:A,0.5)</f>
        <v/>
      </c>
      <c r="M4" t="str" cm="1">
        <f t="array" ref="M4">LLOOKUP(K4,A:A,A:A,0.5)</f>
        <v/>
      </c>
      <c r="Q4" s="10"/>
    </row>
    <row r="5" spans="1:17">
      <c r="A5" s="11" t="s">
        <v>648</v>
      </c>
      <c r="B5" t="s">
        <v>1480</v>
      </c>
      <c r="C5" t="s">
        <v>1481</v>
      </c>
      <c r="D5" t="str" cm="1">
        <f t="array" ref="D5">SLOOKUP(C5,A:A,A:A,0.5)</f>
        <v>Am Nullpunkt der Literatur</v>
      </c>
      <c r="E5" t="str" cm="1">
        <f t="array" ref="E5">LLOOKUP(C5,A:A,A:A,0.5)</f>
        <v>Am Nullpunkt der Literatur</v>
      </c>
      <c r="F5" t="s">
        <v>1670</v>
      </c>
      <c r="G5" t="s">
        <v>1671</v>
      </c>
      <c r="H5" t="str" cm="1">
        <f t="array" ref="H5">SLOOKUP(G5,A:A,A:A,0.5)</f>
        <v>Am Nullpunkt der Literatur</v>
      </c>
      <c r="I5" t="str" cm="1">
        <f t="array" ref="I5">LLOOKUP(G5,A:A,A:A,0.5)</f>
        <v>Am Nullpunkt der Literatur</v>
      </c>
      <c r="J5" t="s">
        <v>648</v>
      </c>
      <c r="K5" t="s">
        <v>648</v>
      </c>
      <c r="L5" t="str" cm="1">
        <f t="array" ref="L5">SLOOKUP(K5,A:A,A:A,0.5)</f>
        <v>Am Nullpunkt der Literatur</v>
      </c>
      <c r="M5" t="str" cm="1">
        <f t="array" ref="M5">LLOOKUP(K5,A:A,A:A,0.5)</f>
        <v>Am Nullpunkt der Literatur</v>
      </c>
      <c r="Q5" s="10"/>
    </row>
    <row r="6" spans="1:17">
      <c r="A6" s="11" t="s">
        <v>569</v>
      </c>
      <c r="B6" t="s">
        <v>1482</v>
      </c>
      <c r="C6" t="s">
        <v>1483</v>
      </c>
      <c r="D6" t="str" cm="1">
        <f t="array" ref="D6">SLOOKUP(C6,A:A,A:A,0.5)</f>
        <v>Asterix der Gallier</v>
      </c>
      <c r="E6" t="str" cm="1">
        <f t="array" ref="E6">LLOOKUP(C6,A:A,A:A,0.5)</f>
        <v>Asterix der Gallier</v>
      </c>
      <c r="F6" t="s">
        <v>1483</v>
      </c>
      <c r="G6" t="s">
        <v>1672</v>
      </c>
      <c r="H6" t="str" cm="1">
        <f t="array" ref="H6">SLOOKUP(G6,A:A,A:A,0.5)</f>
        <v>Asterix der Gallier</v>
      </c>
      <c r="I6" t="str" cm="1">
        <f t="array" ref="I6">LLOOKUP(G6,A:A,A:A,0.5)</f>
        <v>Asterix der Gallier</v>
      </c>
      <c r="J6" t="s">
        <v>569</v>
      </c>
      <c r="K6" t="s">
        <v>569</v>
      </c>
      <c r="L6" t="str" cm="1">
        <f t="array" ref="L6">SLOOKUP(K6,A:A,A:A,0.5)</f>
        <v>Asterix der Gallier</v>
      </c>
      <c r="M6" t="str" cm="1">
        <f t="array" ref="M6">LLOOKUP(K6,A:A,A:A,0.5)</f>
        <v>Asterix der Gallier</v>
      </c>
      <c r="Q6" s="10"/>
    </row>
    <row r="7" spans="1:17">
      <c r="A7" s="11" t="s">
        <v>528</v>
      </c>
      <c r="B7" t="s">
        <v>1484</v>
      </c>
      <c r="C7" t="s">
        <v>1485</v>
      </c>
      <c r="D7" t="str" cm="1">
        <f t="array" ref="D7">SLOOKUP(C7,A:A,A:A,0.5)</f>
        <v>Auf der Suche nach der verlorenen Zeit</v>
      </c>
      <c r="E7" t="str" cm="1">
        <f t="array" ref="E7">LLOOKUP(C7,A:A,A:A,0.5)</f>
        <v>Auf der Suche nach der verlorenen Zeit</v>
      </c>
      <c r="F7" t="s">
        <v>1673</v>
      </c>
      <c r="G7" t="s">
        <v>1674</v>
      </c>
      <c r="H7" t="str" cm="1">
        <f t="array" ref="H7">SLOOKUP(G7,A:A,A:A,0.5)</f>
        <v>Auf der Suche nach der verlorenen Zeit</v>
      </c>
      <c r="I7" t="str" cm="1">
        <f t="array" ref="I7">LLOOKUP(G7,A:A,A:A,0.5)</f>
        <v>Auf der Suche nach der verlorenen Zeit</v>
      </c>
      <c r="J7" t="s">
        <v>528</v>
      </c>
      <c r="K7" t="s">
        <v>528</v>
      </c>
      <c r="L7" t="str" cm="1">
        <f t="array" ref="L7">SLOOKUP(K7,A:A,A:A,0.5)</f>
        <v>Auf der Suche nach der verlorenen Zeit</v>
      </c>
      <c r="M7" t="str" cm="1">
        <f t="array" ref="M7">LLOOKUP(K7,A:A,A:A,0.5)</f>
        <v>Auf der Suche nach der verlorenen Zeit</v>
      </c>
      <c r="Q7" s="10"/>
    </row>
    <row r="8" spans="1:17">
      <c r="A8" s="11" t="s">
        <v>624</v>
      </c>
      <c r="B8" t="s">
        <v>1486</v>
      </c>
      <c r="C8" t="s">
        <v>1487</v>
      </c>
      <c r="D8" t="str" cm="1">
        <f t="array" ref="D8">SLOOKUP(C8,A:A,A:A,0.5)</f>
        <v>Aurélien</v>
      </c>
      <c r="E8" t="str" cm="1">
        <f t="array" ref="E8">LLOOKUP(C8,A:A,A:A,0.5)</f>
        <v>Aurélien</v>
      </c>
      <c r="F8" t="s">
        <v>1487</v>
      </c>
      <c r="G8" t="s">
        <v>1675</v>
      </c>
      <c r="H8" t="str" cm="1">
        <f t="array" ref="H8">SLOOKUP(G8,A:A,A:A,0.5)</f>
        <v>Aurélien</v>
      </c>
      <c r="I8" t="str" cm="1">
        <f t="array" ref="I8">LLOOKUP(G8,A:A,A:A,0.5)</f>
        <v>Asterix der Gallier</v>
      </c>
      <c r="J8" t="s">
        <v>624</v>
      </c>
      <c r="K8" t="s">
        <v>624</v>
      </c>
      <c r="L8" t="str" cm="1">
        <f t="array" ref="L8">SLOOKUP(K8,A:A,A:A,0.5)</f>
        <v>Aurélien</v>
      </c>
      <c r="M8" t="str" cm="1">
        <f t="array" ref="M8">LLOOKUP(K8,A:A,A:A,0.5)</f>
        <v>Aurélien</v>
      </c>
      <c r="Q8" s="10"/>
    </row>
    <row r="9" spans="1:17">
      <c r="A9" s="11" t="s">
        <v>604</v>
      </c>
      <c r="B9" t="s">
        <v>1488</v>
      </c>
      <c r="C9" t="s">
        <v>1489</v>
      </c>
      <c r="D9" t="str" cm="1">
        <f t="array" ref="D9">SLOOKUP(C9,A:A,A:A,0.5)</f>
        <v>Bonjour tristesse</v>
      </c>
      <c r="E9" t="str" cm="1">
        <f t="array" ref="E9">LLOOKUP(C9,A:A,A:A,0.5)</f>
        <v>Bonjour tristesse</v>
      </c>
      <c r="F9" t="s">
        <v>1676</v>
      </c>
      <c r="G9" t="s">
        <v>1677</v>
      </c>
      <c r="H9" t="str" cm="1">
        <f t="array" ref="H9">SLOOKUP(G9,A:A,A:A,0.5)</f>
        <v>Bonjour tristesse</v>
      </c>
      <c r="I9" t="str" cm="1">
        <f t="array" ref="I9">LLOOKUP(G9,A:A,A:A,0.5)</f>
        <v>Bonjour tristesse</v>
      </c>
      <c r="J9" t="s">
        <v>604</v>
      </c>
      <c r="K9" t="s">
        <v>604</v>
      </c>
      <c r="L9" t="str" cm="1">
        <f t="array" ref="L9">SLOOKUP(K9,A:A,A:A,0.5)</f>
        <v>Bonjour tristesse</v>
      </c>
      <c r="M9" t="str" cm="1">
        <f t="array" ref="M9">LLOOKUP(K9,A:A,A:A,0.5)</f>
        <v>Bonjour tristesse</v>
      </c>
      <c r="Q9" s="10"/>
    </row>
    <row r="10" spans="1:17">
      <c r="A10" s="11" t="s">
        <v>546</v>
      </c>
      <c r="B10" t="s">
        <v>1490</v>
      </c>
      <c r="C10" t="s">
        <v>1491</v>
      </c>
      <c r="D10" t="str" cm="1">
        <f t="array" ref="D10">SLOOKUP(C10,A:A,A:A,0.5)</f>
        <v>Das andere Geschlecht</v>
      </c>
      <c r="E10" t="str" cm="1">
        <f t="array" ref="E10">LLOOKUP(C10,A:A,A:A,0.5)</f>
        <v>Das andere Geschlecht</v>
      </c>
      <c r="F10" t="s">
        <v>1678</v>
      </c>
      <c r="G10" t="s">
        <v>1679</v>
      </c>
      <c r="H10" t="str" cm="1">
        <f t="array" ref="H10">SLOOKUP(G10,A:A,A:A,0.5)</f>
        <v>Das andere Geschlecht</v>
      </c>
      <c r="I10" t="str" cm="1">
        <f t="array" ref="I10">LLOOKUP(G10,A:A,A:A,0.5)</f>
        <v>Das andere Geschlecht</v>
      </c>
      <c r="J10" t="s">
        <v>546</v>
      </c>
      <c r="K10" t="s">
        <v>546</v>
      </c>
      <c r="L10" t="str" cm="1">
        <f t="array" ref="L10">SLOOKUP(K10,A:A,A:A,0.5)</f>
        <v>Das andere Geschlecht</v>
      </c>
      <c r="M10" t="str" cm="1">
        <f t="array" ref="M10">LLOOKUP(K10,A:A,A:A,0.5)</f>
        <v>Das andere Geschlecht</v>
      </c>
      <c r="Q10" s="10"/>
    </row>
    <row r="11" spans="1:17">
      <c r="A11" s="11" t="s">
        <v>608</v>
      </c>
      <c r="B11" t="s">
        <v>1492</v>
      </c>
      <c r="C11" t="s">
        <v>1493</v>
      </c>
      <c r="D11" t="str" cm="1">
        <f t="array" ref="D11">SLOOKUP(C11,A:A,A:A,0.5)</f>
        <v>Das Leben Gebrauchsanweisung</v>
      </c>
      <c r="E11" t="str" cm="1">
        <f t="array" ref="E11">LLOOKUP(C11,A:A,A:A,0.5)</f>
        <v>Das Leben Gebrauchsanweisung</v>
      </c>
      <c r="F11" t="s">
        <v>1680</v>
      </c>
      <c r="G11" t="s">
        <v>1681</v>
      </c>
      <c r="H11" t="str" cm="1">
        <f t="array" ref="H11">SLOOKUP(G11,A:A,A:A,0.5)</f>
        <v>Das Leben Gebrauchsanweisung</v>
      </c>
      <c r="I11" t="str" cm="1">
        <f t="array" ref="I11">LLOOKUP(G11,A:A,A:A,0.5)</f>
        <v>Das Leben Gebrauchsanweisung</v>
      </c>
      <c r="J11" t="s">
        <v>608</v>
      </c>
      <c r="K11" t="s">
        <v>608</v>
      </c>
      <c r="L11" t="str" cm="1">
        <f t="array" ref="L11">SLOOKUP(K11,A:A,A:A,0.5)</f>
        <v>Das Leben Gebrauchsanweisung</v>
      </c>
      <c r="M11" t="str" cm="1">
        <f t="array" ref="M11">LLOOKUP(K11,A:A,A:A,0.5)</f>
        <v>Das Leben Gebrauchsanweisung</v>
      </c>
      <c r="Q11" s="10"/>
    </row>
    <row r="12" spans="1:17">
      <c r="A12" s="11" t="s">
        <v>666</v>
      </c>
      <c r="B12" t="s">
        <v>1494</v>
      </c>
      <c r="C12" t="s">
        <v>1495</v>
      </c>
      <c r="D12" t="str" cm="1">
        <f t="array" ref="D12">SLOOKUP(C12,A:A,A:A,0.5)</f>
        <v>Das Protokoll</v>
      </c>
      <c r="E12" t="str" cm="1">
        <f t="array" ref="E12">LLOOKUP(C12,A:A,A:A,0.5)</f>
        <v>Das Protokoll</v>
      </c>
      <c r="F12" t="s">
        <v>1682</v>
      </c>
      <c r="G12" t="s">
        <v>1683</v>
      </c>
      <c r="H12" t="str" cm="1">
        <f t="array" ref="H12">SLOOKUP(G12,A:A,A:A,0.5)</f>
        <v>Das Protokoll</v>
      </c>
      <c r="I12" t="str" cm="1">
        <f t="array" ref="I12">LLOOKUP(G12,A:A,A:A,0.5)</f>
        <v>Das Protokoll</v>
      </c>
      <c r="J12" t="s">
        <v>666</v>
      </c>
      <c r="K12" t="s">
        <v>666</v>
      </c>
      <c r="L12" t="str" cm="1">
        <f t="array" ref="L12">SLOOKUP(K12,A:A,A:A,0.5)</f>
        <v>Das Protokoll</v>
      </c>
      <c r="M12" t="str" cm="1">
        <f t="array" ref="M12">LLOOKUP(K12,A:A,A:A,0.5)</f>
        <v>Das Protokoll</v>
      </c>
      <c r="Q12" s="10"/>
    </row>
    <row r="13" spans="1:17">
      <c r="A13" s="11" t="s">
        <v>606</v>
      </c>
      <c r="B13" t="s">
        <v>1496</v>
      </c>
      <c r="C13" t="s">
        <v>1497</v>
      </c>
      <c r="D13" t="str" cm="1">
        <f t="array" ref="D13">SLOOKUP(C13,A:A,A:A,0.5)</f>
        <v>Das Schweigen des Meeres</v>
      </c>
      <c r="E13" t="str" cm="1">
        <f t="array" ref="E13">LLOOKUP(C13,A:A,A:A,0.5)</f>
        <v>Das Schweigen des Meeres</v>
      </c>
      <c r="F13" t="s">
        <v>1684</v>
      </c>
      <c r="G13" t="s">
        <v>1685</v>
      </c>
      <c r="H13" t="str" cm="1">
        <f t="array" ref="H13">SLOOKUP(G13,A:A,A:A,0.5)</f>
        <v>Das Schweigen des Meeres</v>
      </c>
      <c r="I13" t="str" cm="1">
        <f t="array" ref="I13">LLOOKUP(G13,A:A,A:A,0.5)</f>
        <v>Das Schweigen des Meeres</v>
      </c>
      <c r="J13" t="s">
        <v>606</v>
      </c>
      <c r="K13" t="s">
        <v>606</v>
      </c>
      <c r="L13" t="str" cm="1">
        <f t="array" ref="L13">SLOOKUP(K13,A:A,A:A,0.5)</f>
        <v>Das Schweigen des Meeres</v>
      </c>
      <c r="M13" t="str" cm="1">
        <f t="array" ref="M13">LLOOKUP(K13,A:A,A:A,0.5)</f>
        <v>Das Schweigen des Meeres</v>
      </c>
      <c r="Q13" s="10"/>
    </row>
    <row r="14" spans="1:17">
      <c r="A14" s="11" t="s">
        <v>550</v>
      </c>
      <c r="B14" t="s">
        <v>1498</v>
      </c>
      <c r="C14" t="s">
        <v>1499</v>
      </c>
      <c r="D14" t="str" cm="1">
        <f t="array" ref="D14">SLOOKUP(C14,A:A,A:A,0.5)</f>
        <v>Das Sein und das Nichts</v>
      </c>
      <c r="E14" t="str" cm="1">
        <f t="array" ref="E14">LLOOKUP(C14,A:A,A:A,0.5)</f>
        <v>Das Sein und das Nichts</v>
      </c>
      <c r="F14" t="s">
        <v>1686</v>
      </c>
      <c r="G14" t="s">
        <v>1687</v>
      </c>
      <c r="H14" t="str" cm="1">
        <f t="array" ref="H14">SLOOKUP(G14,A:A,A:A,0.5)</f>
        <v>Das Sein und das Nichts</v>
      </c>
      <c r="I14" t="str" cm="1">
        <f t="array" ref="I14">LLOOKUP(G14,A:A,A:A,0.5)</f>
        <v>Das Sein und das Nichts</v>
      </c>
      <c r="J14" t="s">
        <v>550</v>
      </c>
      <c r="K14" t="s">
        <v>550</v>
      </c>
      <c r="L14" t="str" cm="1">
        <f t="array" ref="L14">SLOOKUP(K14,A:A,A:A,0.5)</f>
        <v>Das Sein und das Nichts</v>
      </c>
      <c r="M14" t="str" cm="1">
        <f t="array" ref="M14">LLOOKUP(K14,A:A,A:A,0.5)</f>
        <v>Das Sein und das Nichts</v>
      </c>
      <c r="Q14" s="10"/>
    </row>
    <row r="15" spans="1:17">
      <c r="A15" s="11" t="s">
        <v>676</v>
      </c>
      <c r="B15" t="s">
        <v>1500</v>
      </c>
      <c r="C15" t="s">
        <v>1501</v>
      </c>
      <c r="D15" t="str" cm="1">
        <f t="array" ref="D15">SLOOKUP(C15,A:A,A:A,0.5)</f>
        <v>Das Theater und sein Double</v>
      </c>
      <c r="E15" t="str" cm="1">
        <f t="array" ref="E15">LLOOKUP(C15,A:A,A:A,0.5)</f>
        <v>Das Theater und sein Double</v>
      </c>
      <c r="F15" t="s">
        <v>1688</v>
      </c>
      <c r="G15" t="s">
        <v>1689</v>
      </c>
      <c r="H15" t="str" cm="1">
        <f t="array" ref="H15">SLOOKUP(G15,A:A,A:A,0.5)</f>
        <v>Das Theater und sein Double</v>
      </c>
      <c r="I15" t="str" cm="1">
        <f t="array" ref="I15">LLOOKUP(G15,A:A,A:A,0.5)</f>
        <v>Das Theater und sein Double</v>
      </c>
      <c r="J15" t="s">
        <v>676</v>
      </c>
      <c r="K15" t="s">
        <v>676</v>
      </c>
      <c r="L15" t="str" cm="1">
        <f t="array" ref="L15">SLOOKUP(K15,A:A,A:A,0.5)</f>
        <v>Das Theater und sein Double</v>
      </c>
      <c r="M15" t="str" cm="1">
        <f t="array" ref="M15">LLOOKUP(K15,A:A,A:A,0.5)</f>
        <v>Das Theater und sein Double</v>
      </c>
      <c r="Q15" s="10"/>
    </row>
    <row r="16" spans="1:17">
      <c r="A16" s="11" t="s">
        <v>652</v>
      </c>
      <c r="B16" t="s">
        <v>652</v>
      </c>
      <c r="C16" t="s">
        <v>1502</v>
      </c>
      <c r="D16" t="str" cm="1">
        <f t="array" ref="D16">SLOOKUP(C16,A:A,A:A,0.5)</f>
        <v>Das Ufer der Syrten</v>
      </c>
      <c r="E16" t="str" cm="1">
        <f t="array" ref="E16">LLOOKUP(C16,A:A,A:A,0.5)</f>
        <v>Das Ufer der Syrten</v>
      </c>
      <c r="F16" t="s">
        <v>1690</v>
      </c>
      <c r="G16" t="s">
        <v>1691</v>
      </c>
      <c r="H16" t="str" cm="1">
        <f t="array" ref="H16">SLOOKUP(G16,A:A,A:A,0.5)</f>
        <v>Das Ufer der Syrten</v>
      </c>
      <c r="I16" t="str" cm="1">
        <f t="array" ref="I16">LLOOKUP(G16,A:A,A:A,0.5)</f>
        <v>Das Ufer der Syrten</v>
      </c>
      <c r="J16" t="s">
        <v>652</v>
      </c>
      <c r="K16" t="s">
        <v>652</v>
      </c>
      <c r="L16" t="str" cm="1">
        <f t="array" ref="L16">SLOOKUP(K16,A:A,A:A,0.5)</f>
        <v>Das Ufer der Syrten</v>
      </c>
      <c r="M16" t="str" cm="1">
        <f t="array" ref="M16">LLOOKUP(K16,A:A,A:A,0.5)</f>
        <v>Das Ufer der Syrten</v>
      </c>
      <c r="Q16" s="10"/>
    </row>
    <row r="17" spans="1:17">
      <c r="A17" s="11" t="s">
        <v>554</v>
      </c>
      <c r="B17" t="s">
        <v>1503</v>
      </c>
      <c r="C17" t="s">
        <v>1504</v>
      </c>
      <c r="D17" t="str" cm="1">
        <f t="array" ref="D17">SLOOKUP(C17,A:A,A:A,0.5)</f>
        <v>Der Archipel Gulag</v>
      </c>
      <c r="E17" t="str" cm="1">
        <f t="array" ref="E17">LLOOKUP(C17,A:A,A:A,0.5)</f>
        <v>Der Archipel Gulag</v>
      </c>
      <c r="F17" t="s">
        <v>1692</v>
      </c>
      <c r="G17" t="s">
        <v>1693</v>
      </c>
      <c r="H17" t="str" cm="1">
        <f t="array" ref="H17">SLOOKUP(G17,A:A,A:A,0.5)</f>
        <v>Der Archipel Gulag</v>
      </c>
      <c r="I17" t="str" cm="1">
        <f t="array" ref="I17">LLOOKUP(G17,A:A,A:A,0.5)</f>
        <v>Der Archipel Gulag</v>
      </c>
      <c r="J17" t="s">
        <v>554</v>
      </c>
      <c r="K17" t="s">
        <v>554</v>
      </c>
      <c r="L17" t="str" cm="1">
        <f t="array" ref="L17">SLOOKUP(K17,A:A,A:A,0.5)</f>
        <v>Der Archipel Gulag</v>
      </c>
      <c r="M17" t="str" cm="1">
        <f t="array" ref="M17">LLOOKUP(K17,A:A,A:A,0.5)</f>
        <v>Der Archipel Gulag</v>
      </c>
      <c r="Q17" s="10"/>
    </row>
    <row r="18" spans="1:17">
      <c r="A18" s="11" t="s">
        <v>630</v>
      </c>
      <c r="B18" t="s">
        <v>1505</v>
      </c>
      <c r="C18" t="s">
        <v>1506</v>
      </c>
      <c r="D18" t="str" cm="1">
        <f t="array" ref="D18">SLOOKUP(C18,A:A,A:A,0.5)</f>
        <v>Der aufhaltsame Aufstieg des Arturo Ui</v>
      </c>
      <c r="E18" t="str" cm="1">
        <f t="array" ref="E18">LLOOKUP(C18,A:A,A:A,0.5)</f>
        <v>Der aufhaltsame Aufstieg des Arturo Ui</v>
      </c>
      <c r="F18" t="s">
        <v>1694</v>
      </c>
      <c r="G18" t="s">
        <v>1695</v>
      </c>
      <c r="H18" t="str" cm="1">
        <f t="array" ref="H18">SLOOKUP(G18,A:A,A:A,0.5)</f>
        <v>Der aufhaltsame Aufstieg des Arturo Ui</v>
      </c>
      <c r="I18" t="str" cm="1">
        <f t="array" ref="I18">LLOOKUP(G18,A:A,A:A,0.5)</f>
        <v>Der aufhaltsame Aufstieg des Arturo Ui</v>
      </c>
      <c r="J18" t="s">
        <v>630</v>
      </c>
      <c r="K18" t="s">
        <v>630</v>
      </c>
      <c r="L18" t="str" cm="1">
        <f t="array" ref="L18">SLOOKUP(K18,A:A,A:A,0.5)</f>
        <v>Der aufhaltsame Aufstieg des Arturo Ui</v>
      </c>
      <c r="M18" t="str" cm="1">
        <f t="array" ref="M18">LLOOKUP(K18,A:A,A:A,0.5)</f>
        <v>Der aufhaltsame Aufstieg des Arturo Ui</v>
      </c>
      <c r="Q18" s="10"/>
    </row>
    <row r="19" spans="1:17">
      <c r="A19" s="11" t="s">
        <v>560</v>
      </c>
      <c r="B19" t="s">
        <v>1507</v>
      </c>
      <c r="C19" t="s">
        <v>1508</v>
      </c>
      <c r="D19" t="str" cm="1">
        <f t="array" ref="D19">SLOOKUP(C19,A:A,A:A,0.5)</f>
        <v>Der Blaue Lotos</v>
      </c>
      <c r="E19" t="str" cm="1">
        <f t="array" ref="E19">LLOOKUP(C19,A:A,A:A,0.5)</f>
        <v>Der Blaue Lotos</v>
      </c>
      <c r="F19" t="s">
        <v>1696</v>
      </c>
      <c r="G19" t="s">
        <v>1697</v>
      </c>
      <c r="H19" t="str" cm="1">
        <f t="array" ref="H19">SLOOKUP(G19,A:A,A:A,0.5)</f>
        <v>Der Blaue Lotos</v>
      </c>
      <c r="I19" t="str" cm="1">
        <f t="array" ref="I19">LLOOKUP(G19,A:A,A:A,0.5)</f>
        <v>Der Blaue Lotos</v>
      </c>
      <c r="J19" t="s">
        <v>560</v>
      </c>
      <c r="K19" t="s">
        <v>560</v>
      </c>
      <c r="L19" t="str" cm="1">
        <f t="array" ref="L19">SLOOKUP(K19,A:A,A:A,0.5)</f>
        <v>Der Blaue Lotos</v>
      </c>
      <c r="M19" t="str" cm="1">
        <f t="array" ref="M19">LLOOKUP(K19,A:A,A:A,0.5)</f>
        <v>Der Blaue Lotos</v>
      </c>
      <c r="Q19" s="10"/>
    </row>
    <row r="20" spans="1:17">
      <c r="A20" s="11" t="s">
        <v>698</v>
      </c>
      <c r="B20" t="s">
        <v>698</v>
      </c>
      <c r="C20" t="s">
        <v>1509</v>
      </c>
      <c r="D20" t="str" cm="1">
        <f t="array" ref="D20">SLOOKUP(C20,A:A,A:A,0.5)</f>
        <v>Der Fänger im Roggen</v>
      </c>
      <c r="E20" t="str" cm="1">
        <f t="array" ref="E20">LLOOKUP(C20,A:A,A:A,0.5)</f>
        <v>Der Fänger im Roggen</v>
      </c>
      <c r="F20" t="s">
        <v>1698</v>
      </c>
      <c r="G20" t="s">
        <v>1699</v>
      </c>
      <c r="H20" t="str" cm="1">
        <f t="array" ref="H20">SLOOKUP(G20,A:A,A:A,0.5)</f>
        <v>Der Fänger im Roggen</v>
      </c>
      <c r="I20" t="str" cm="1">
        <f t="array" ref="I20">LLOOKUP(G20,A:A,A:A,0.5)</f>
        <v>Der Fänger im Roggen</v>
      </c>
      <c r="J20" t="s">
        <v>698</v>
      </c>
      <c r="K20" t="s">
        <v>698</v>
      </c>
      <c r="L20" t="str" cm="1">
        <f t="array" ref="L20">SLOOKUP(K20,A:A,A:A,0.5)</f>
        <v>Der Fänger im Roggen</v>
      </c>
      <c r="M20" t="str" cm="1">
        <f t="array" ref="M20">LLOOKUP(K20,A:A,A:A,0.5)</f>
        <v>Der Fänger im Roggen</v>
      </c>
      <c r="Q20" s="10"/>
    </row>
    <row r="21" spans="1:17">
      <c r="A21" s="11" t="s">
        <v>526</v>
      </c>
      <c r="B21" t="s">
        <v>1510</v>
      </c>
      <c r="C21" t="s">
        <v>1511</v>
      </c>
      <c r="D21" t="str" cm="1">
        <f t="array" ref="D21">SLOOKUP(C21,A:A,A:A,0.5)</f>
        <v>Der Fremde</v>
      </c>
      <c r="E21" t="str" cm="1">
        <f t="array" ref="E21">LLOOKUP(C21,A:A,A:A,0.5)</f>
        <v>Der Fremde</v>
      </c>
      <c r="F21" t="s">
        <v>1700</v>
      </c>
      <c r="G21" t="s">
        <v>1701</v>
      </c>
      <c r="H21" t="str" cm="1">
        <f t="array" ref="H21">SLOOKUP(G21,A:A,A:A,0.5)</f>
        <v>Der seidene Schuh</v>
      </c>
      <c r="I21" t="str" cm="1">
        <f t="array" ref="I21">LLOOKUP(G21,A:A,A:A,0.5)</f>
        <v>Der Fremde</v>
      </c>
      <c r="J21" t="s">
        <v>526</v>
      </c>
      <c r="K21" t="s">
        <v>526</v>
      </c>
      <c r="L21" t="str" cm="1">
        <f t="array" ref="L21">SLOOKUP(K21,A:A,A:A,0.5)</f>
        <v>Der Fremde</v>
      </c>
      <c r="M21" t="str" cm="1">
        <f t="array" ref="M21">LLOOKUP(K21,A:A,A:A,0.5)</f>
        <v>Der Fremde</v>
      </c>
      <c r="Q21" s="10"/>
    </row>
    <row r="22" spans="1:17">
      <c r="A22" s="11" t="s">
        <v>684</v>
      </c>
      <c r="B22" t="s">
        <v>1512</v>
      </c>
      <c r="C22" t="s">
        <v>1513</v>
      </c>
      <c r="D22" t="str" cm="1">
        <f t="array" ref="D22">SLOOKUP(C22,A:A,A:A,0.5)</f>
        <v>Der General der toten Armee</v>
      </c>
      <c r="E22" t="str" cm="1">
        <f t="array" ref="E22">LLOOKUP(C22,A:A,A:A,0.5)</f>
        <v>Der General der toten Armee</v>
      </c>
      <c r="F22" t="s">
        <v>1702</v>
      </c>
      <c r="G22" t="s">
        <v>1703</v>
      </c>
      <c r="H22" t="str" cm="1">
        <f t="array" ref="H22">SLOOKUP(G22,A:A,A:A,0.5)</f>
        <v>Der General der toten Armee</v>
      </c>
      <c r="I22" t="str" cm="1">
        <f t="array" ref="I22">LLOOKUP(G22,A:A,A:A,0.5)</f>
        <v>Der General der toten Armee</v>
      </c>
      <c r="J22" t="s">
        <v>684</v>
      </c>
      <c r="K22" t="s">
        <v>684</v>
      </c>
      <c r="L22" t="str" cm="1">
        <f t="array" ref="L22">SLOOKUP(K22,A:A,A:A,0.5)</f>
        <v>Der General der toten Armee</v>
      </c>
      <c r="M22" t="str" cm="1">
        <f t="array" ref="M22">LLOOKUP(K22,A:A,A:A,0.5)</f>
        <v>Der General der toten Armee</v>
      </c>
      <c r="Q22" s="10"/>
    </row>
    <row r="23" spans="1:17">
      <c r="A23" s="11" t="s">
        <v>614</v>
      </c>
      <c r="B23" t="s">
        <v>1514</v>
      </c>
      <c r="C23" t="s">
        <v>1515</v>
      </c>
      <c r="D23" t="str" cm="1">
        <f t="array" ref="D23">SLOOKUP(C23,A:A,A:A,0.5)</f>
        <v>Der große Gatsby</v>
      </c>
      <c r="E23" t="str" cm="1">
        <f t="array" ref="E23">LLOOKUP(C23,A:A,A:A,0.5)</f>
        <v>Der große Gatsby</v>
      </c>
      <c r="F23" t="s">
        <v>1704</v>
      </c>
      <c r="G23" t="s">
        <v>1705</v>
      </c>
      <c r="H23" t="str" cm="1">
        <f t="array" ref="H23">SLOOKUP(G23,A:A,A:A,0.5)</f>
        <v>Der große Gatsby</v>
      </c>
      <c r="I23" t="str" cm="1">
        <f t="array" ref="I23">LLOOKUP(G23,A:A,A:A,0.5)</f>
        <v>Der große Gatsby</v>
      </c>
      <c r="J23" t="s">
        <v>614</v>
      </c>
      <c r="K23" t="s">
        <v>614</v>
      </c>
      <c r="L23" t="str" cm="1">
        <f t="array" ref="L23">SLOOKUP(K23,A:A,A:A,0.5)</f>
        <v>Der große Gatsby</v>
      </c>
      <c r="M23" t="str" cm="1">
        <f t="array" ref="M23">LLOOKUP(K23,A:A,A:A,0.5)</f>
        <v>Der große Gatsby</v>
      </c>
      <c r="Q23" s="10"/>
    </row>
    <row r="24" spans="1:17">
      <c r="A24" s="11" t="s">
        <v>542</v>
      </c>
      <c r="B24" t="s">
        <v>1516</v>
      </c>
      <c r="C24" t="s">
        <v>1517</v>
      </c>
      <c r="D24" t="str" cm="1">
        <f t="array" ref="D24">SLOOKUP(C24,A:A,A:A,0.5)</f>
        <v>Der große Meaulnes</v>
      </c>
      <c r="E24" t="str" cm="1">
        <f t="array" ref="E24">LLOOKUP(C24,A:A,A:A,0.5)</f>
        <v>Der große Meaulnes</v>
      </c>
      <c r="F24" t="s">
        <v>1706</v>
      </c>
      <c r="G24" t="s">
        <v>1707</v>
      </c>
      <c r="H24" t="str" cm="1">
        <f t="array" ref="H24">SLOOKUP(G24,A:A,A:A,0.5)</f>
        <v>Der große Meaulnes</v>
      </c>
      <c r="I24" t="str" cm="1">
        <f t="array" ref="I24">LLOOKUP(G24,A:A,A:A,0.5)</f>
        <v>Der große Meaulnes</v>
      </c>
      <c r="J24" t="s">
        <v>542</v>
      </c>
      <c r="K24" t="s">
        <v>542</v>
      </c>
      <c r="L24" t="str" cm="1">
        <f t="array" ref="L24">SLOOKUP(K24,A:A,A:A,0.5)</f>
        <v>Der große Meaulnes</v>
      </c>
      <c r="M24" t="str" cm="1">
        <f t="array" ref="M24">LLOOKUP(K24,A:A,A:A,0.5)</f>
        <v>Der große Meaulnes</v>
      </c>
      <c r="Q24" s="10"/>
    </row>
    <row r="25" spans="1:17">
      <c r="A25" s="11" t="s">
        <v>713</v>
      </c>
      <c r="B25" t="s">
        <v>1518</v>
      </c>
      <c r="C25" t="s">
        <v>1519</v>
      </c>
      <c r="D25" t="str" cm="1">
        <f t="array" ref="D25">SLOOKUP(C25,A:A,A:A,0.5)</f>
        <v>Der große Schlaf</v>
      </c>
      <c r="E25" t="str" cm="1">
        <f t="array" ref="E25">LLOOKUP(C25,A:A,A:A,0.5)</f>
        <v>Der große Schlaf</v>
      </c>
      <c r="F25" t="s">
        <v>1708</v>
      </c>
      <c r="G25" t="s">
        <v>1709</v>
      </c>
      <c r="H25" t="str" cm="1">
        <f t="array" ref="H25">SLOOKUP(G25,A:A,A:A,0.5)</f>
        <v>Der große Schlaf</v>
      </c>
      <c r="I25" t="str" cm="1">
        <f t="array" ref="I25">LLOOKUP(G25,A:A,A:A,0.5)</f>
        <v>Der große Schlaf</v>
      </c>
      <c r="J25" t="s">
        <v>713</v>
      </c>
      <c r="K25" t="s">
        <v>713</v>
      </c>
      <c r="L25" t="str" cm="1">
        <f t="array" ref="L25">SLOOKUP(K25,A:A,A:A,0.5)</f>
        <v>Der große Schlaf</v>
      </c>
      <c r="M25" t="str" cm="1">
        <f t="array" ref="M25">LLOOKUP(K25,A:A,A:A,0.5)</f>
        <v>Der große Schlaf</v>
      </c>
      <c r="Q25" s="10"/>
    </row>
    <row r="26" spans="1:17">
      <c r="A26" s="11" t="s">
        <v>638</v>
      </c>
      <c r="B26" t="s">
        <v>1520</v>
      </c>
      <c r="C26" t="s">
        <v>1521</v>
      </c>
      <c r="D26" t="str" cm="1">
        <f t="array" ref="D26">SLOOKUP(C26,A:A,A:A,0.5)</f>
        <v>Der Herr der Ringe</v>
      </c>
      <c r="E26" t="str" cm="1">
        <f t="array" ref="E26">LLOOKUP(C26,A:A,A:A,0.5)</f>
        <v>Der Herr der Ringe</v>
      </c>
      <c r="F26" t="s">
        <v>1710</v>
      </c>
      <c r="G26" t="s">
        <v>1711</v>
      </c>
      <c r="H26" t="str" cm="1">
        <f t="array" ref="H26">SLOOKUP(G26,A:A,A:A,0.5)</f>
        <v>Der Herr der Ringe</v>
      </c>
      <c r="I26" t="str" cm="1">
        <f t="array" ref="I26">LLOOKUP(G26,A:A,A:A,0.5)</f>
        <v>Der Herr der Ringe</v>
      </c>
      <c r="J26" t="s">
        <v>638</v>
      </c>
      <c r="K26" t="s">
        <v>638</v>
      </c>
      <c r="L26" t="str" cm="1">
        <f t="array" ref="L26">SLOOKUP(K26,A:A,A:A,0.5)</f>
        <v>Der Herr der Ringe</v>
      </c>
      <c r="M26" t="str" cm="1">
        <f t="array" ref="M26">LLOOKUP(K26,A:A,A:A,0.5)</f>
        <v>Der Herr der Ringe</v>
      </c>
      <c r="Q26" s="10"/>
    </row>
    <row r="27" spans="1:17">
      <c r="A27" s="11" t="s">
        <v>610</v>
      </c>
      <c r="B27" t="s">
        <v>1522</v>
      </c>
      <c r="C27" t="s">
        <v>1523</v>
      </c>
      <c r="D27" t="str" cm="1">
        <f t="array" ref="D27">SLOOKUP(C27,A:A,A:A,0.5)</f>
        <v>Der Hund von Baskerville</v>
      </c>
      <c r="E27" t="str" cm="1">
        <f t="array" ref="E27">LLOOKUP(C27,A:A,A:A,0.5)</f>
        <v>Der Hund von Baskerville</v>
      </c>
      <c r="F27" t="s">
        <v>1712</v>
      </c>
      <c r="G27" t="s">
        <v>1713</v>
      </c>
      <c r="H27" t="str" cm="1">
        <f t="array" ref="H27">SLOOKUP(G27,A:A,A:A,0.5)</f>
        <v>Der Hund von Baskerville</v>
      </c>
      <c r="I27" t="str" cm="1">
        <f t="array" ref="I27">LLOOKUP(G27,A:A,A:A,0.5)</f>
        <v>Der Hund von Baskerville</v>
      </c>
      <c r="J27" t="s">
        <v>610</v>
      </c>
      <c r="K27" t="s">
        <v>610</v>
      </c>
      <c r="L27" t="str" cm="1">
        <f t="array" ref="L27">SLOOKUP(K27,A:A,A:A,0.5)</f>
        <v>Der Hund von Baskerville</v>
      </c>
      <c r="M27" t="str" cm="1">
        <f t="array" ref="M27">LLOOKUP(K27,A:A,A:A,0.5)</f>
        <v>Der Hund von Baskerville</v>
      </c>
      <c r="Q27" s="10"/>
    </row>
    <row r="28" spans="1:17">
      <c r="A28" s="11" t="s">
        <v>584</v>
      </c>
      <c r="B28" t="s">
        <v>1524</v>
      </c>
      <c r="C28" t="s">
        <v>1525</v>
      </c>
      <c r="D28" t="str" cm="1">
        <f t="array" ref="D28">SLOOKUP(C28,A:A,A:A,0.5)</f>
        <v>Der Husar auf dem Dach</v>
      </c>
      <c r="E28" t="str" cm="1">
        <f t="array" ref="E28">LLOOKUP(C28,A:A,A:A,0.5)</f>
        <v>Der Husar auf dem Dach</v>
      </c>
      <c r="F28" t="s">
        <v>1714</v>
      </c>
      <c r="G28" t="s">
        <v>1715</v>
      </c>
      <c r="H28" t="str" cm="1">
        <f t="array" ref="H28">SLOOKUP(G28,A:A,A:A,0.5)</f>
        <v>Der Husar auf dem Dach</v>
      </c>
      <c r="I28" t="str" cm="1">
        <f t="array" ref="I28">LLOOKUP(G28,A:A,A:A,0.5)</f>
        <v>Der Husar auf dem Dach</v>
      </c>
      <c r="J28" t="s">
        <v>584</v>
      </c>
      <c r="K28" t="s">
        <v>584</v>
      </c>
      <c r="L28" t="str" cm="1">
        <f t="array" ref="L28">SLOOKUP(K28,A:A,A:A,0.5)</f>
        <v>Der Husar auf dem Dach</v>
      </c>
      <c r="M28" t="str" cm="1">
        <f t="array" ref="M28">LLOOKUP(K28,A:A,A:A,0.5)</f>
        <v>Der Husar auf dem Dach</v>
      </c>
      <c r="Q28" s="10"/>
    </row>
    <row r="29" spans="1:17">
      <c r="A29" s="11" t="s">
        <v>532</v>
      </c>
      <c r="B29" t="s">
        <v>1526</v>
      </c>
      <c r="C29" t="s">
        <v>1527</v>
      </c>
      <c r="D29" t="str" cm="1">
        <f t="array" ref="D29">SLOOKUP(C29,A:A,A:A,0.5)</f>
        <v>Der kleine Prinz</v>
      </c>
      <c r="E29" t="str" cm="1">
        <f t="array" ref="E29">LLOOKUP(C29,A:A,A:A,0.5)</f>
        <v>Der kleine Prinz</v>
      </c>
      <c r="F29" t="s">
        <v>1716</v>
      </c>
      <c r="G29" t="s">
        <v>1717</v>
      </c>
      <c r="H29" t="str" cm="1">
        <f t="array" ref="H29">SLOOKUP(G29,A:A,A:A,0.5)</f>
        <v>Der kleine Prinz</v>
      </c>
      <c r="I29" t="str" cm="1">
        <f t="array" ref="I29">LLOOKUP(G29,A:A,A:A,0.5)</f>
        <v>Der kleine Prinz</v>
      </c>
      <c r="J29" t="s">
        <v>532</v>
      </c>
      <c r="K29" t="s">
        <v>532</v>
      </c>
      <c r="L29" t="str" cm="1">
        <f t="array" ref="L29">SLOOKUP(K29,A:A,A:A,0.5)</f>
        <v>Der kleine Prinz</v>
      </c>
      <c r="M29" t="str" cm="1">
        <f t="array" ref="M29">LLOOKUP(K29,A:A,A:A,0.5)</f>
        <v>Der kleine Prinz</v>
      </c>
      <c r="Q29" s="10"/>
    </row>
    <row r="30" spans="1:17">
      <c r="A30" s="11" t="s">
        <v>634</v>
      </c>
      <c r="B30" t="s">
        <v>1528</v>
      </c>
      <c r="C30" t="s">
        <v>1529</v>
      </c>
      <c r="D30" t="str" cm="1">
        <f t="array" ref="D30">SLOOKUP(C30,A:A,A:A,0.5)</f>
        <v>Der Krieg der Welten</v>
      </c>
      <c r="E30" t="str" cm="1">
        <f t="array" ref="E30">LLOOKUP(C30,A:A,A:A,0.5)</f>
        <v>Der Krieg der Welten</v>
      </c>
      <c r="F30" t="s">
        <v>1718</v>
      </c>
      <c r="G30" t="s">
        <v>1719</v>
      </c>
      <c r="H30" t="str" cm="1">
        <f t="array" ref="H30">SLOOKUP(G30,A:A,A:A,0.5)</f>
        <v>Der Krieg der Welten</v>
      </c>
      <c r="I30" t="str" cm="1">
        <f t="array" ref="I30">LLOOKUP(G30,A:A,A:A,0.5)</f>
        <v>Der Krieg der Welten</v>
      </c>
      <c r="J30" t="s">
        <v>634</v>
      </c>
      <c r="K30" t="s">
        <v>634</v>
      </c>
      <c r="L30" t="str" cm="1">
        <f t="array" ref="L30">SLOOKUP(K30,A:A,A:A,0.5)</f>
        <v>Der Krieg der Welten</v>
      </c>
      <c r="M30" t="str" cm="1">
        <f t="array" ref="M30">LLOOKUP(K30,A:A,A:A,0.5)</f>
        <v>Der Krieg der Welten</v>
      </c>
      <c r="Q30" s="10"/>
    </row>
    <row r="31" spans="1:17">
      <c r="A31" s="11" t="s">
        <v>694</v>
      </c>
      <c r="B31" t="s">
        <v>1530</v>
      </c>
      <c r="C31" t="s">
        <v>1531</v>
      </c>
      <c r="D31" t="str" cm="1">
        <f t="array" ref="D31">SLOOKUP(C31,A:A,A:A,0.5)</f>
        <v>Der Mann ohne Eigenschaften</v>
      </c>
      <c r="E31" t="str" cm="1">
        <f t="array" ref="E31">LLOOKUP(C31,A:A,A:A,0.5)</f>
        <v>Der Mann ohne Eigenschaften</v>
      </c>
      <c r="F31" t="s">
        <v>1531</v>
      </c>
      <c r="G31" t="s">
        <v>1720</v>
      </c>
      <c r="H31" t="str" cm="1">
        <f t="array" ref="H31">SLOOKUP(G31,A:A,A:A,0.5)</f>
        <v>Der Mann ohne Eigenschaften</v>
      </c>
      <c r="I31" t="str" cm="1">
        <f t="array" ref="I31">LLOOKUP(G31,A:A,A:A,0.5)</f>
        <v>Der Mann ohne Eigenschaften</v>
      </c>
      <c r="J31" t="s">
        <v>694</v>
      </c>
      <c r="K31" t="s">
        <v>694</v>
      </c>
      <c r="L31" t="str" cm="1">
        <f t="array" ref="L31">SLOOKUP(K31,A:A,A:A,0.5)</f>
        <v>Der Mann ohne Eigenschaften</v>
      </c>
      <c r="M31" t="str" cm="1">
        <f t="array" ref="M31">LLOOKUP(K31,A:A,A:A,0.5)</f>
        <v>Der Mann ohne Eigenschaften</v>
      </c>
      <c r="Q31" s="10"/>
    </row>
    <row r="32" spans="1:17">
      <c r="A32" s="11" t="s">
        <v>710</v>
      </c>
      <c r="B32" t="s">
        <v>1532</v>
      </c>
      <c r="C32" t="s">
        <v>1533</v>
      </c>
      <c r="D32" t="str" cm="1">
        <f t="array" ref="D32">SLOOKUP(C32,A:A,A:A,0.5)</f>
        <v>Der Meister und Margarita</v>
      </c>
      <c r="E32" t="str" cm="1">
        <f t="array" ref="E32">LLOOKUP(C32,A:A,A:A,0.5)</f>
        <v>Der Meister und Margarita</v>
      </c>
      <c r="F32" t="s">
        <v>1721</v>
      </c>
      <c r="G32" t="s">
        <v>1722</v>
      </c>
      <c r="H32" t="str" cm="1">
        <f t="array" ref="H32">SLOOKUP(G32,A:A,A:A,0.5)</f>
        <v>Der Meister und Margarita</v>
      </c>
      <c r="I32" t="str" cm="1">
        <f t="array" ref="I32">LLOOKUP(G32,A:A,A:A,0.5)</f>
        <v>Der Meister und Margarita</v>
      </c>
      <c r="J32" t="s">
        <v>710</v>
      </c>
      <c r="K32" t="s">
        <v>710</v>
      </c>
      <c r="L32" t="str" cm="1">
        <f t="array" ref="L32">SLOOKUP(K32,A:A,A:A,0.5)</f>
        <v>Der Meister und Margarita</v>
      </c>
      <c r="M32" t="str" cm="1">
        <f t="array" ref="M32">LLOOKUP(K32,A:A,A:A,0.5)</f>
        <v>Der Meister und Margarita</v>
      </c>
      <c r="Q32" s="10"/>
    </row>
    <row r="33" spans="1:17">
      <c r="A33" s="11" t="s">
        <v>552</v>
      </c>
      <c r="B33" t="s">
        <v>1534</v>
      </c>
      <c r="C33" t="s">
        <v>1535</v>
      </c>
      <c r="D33" t="str" cm="1">
        <f t="array" ref="D33">SLOOKUP(C33,A:A,A:A,0.5)</f>
        <v>Der Name der Rose</v>
      </c>
      <c r="E33" t="str" cm="1">
        <f t="array" ref="E33">LLOOKUP(C33,A:A,A:A,0.5)</f>
        <v>Der Name der Rose</v>
      </c>
      <c r="F33" t="s">
        <v>1723</v>
      </c>
      <c r="G33" t="s">
        <v>1724</v>
      </c>
      <c r="H33" t="str" cm="1">
        <f t="array" ref="H33">SLOOKUP(G33,A:A,A:A,0.5)</f>
        <v>Der Name der Rose</v>
      </c>
      <c r="I33" t="str" cm="1">
        <f t="array" ref="I33">LLOOKUP(G33,A:A,A:A,0.5)</f>
        <v>Der Name der Rose</v>
      </c>
      <c r="J33" t="s">
        <v>552</v>
      </c>
      <c r="K33" t="s">
        <v>552</v>
      </c>
      <c r="L33" t="str" cm="1">
        <f t="array" ref="L33">SLOOKUP(K33,A:A,A:A,0.5)</f>
        <v>Der Name der Rose</v>
      </c>
      <c r="M33" t="str" cm="1">
        <f t="array" ref="M33">LLOOKUP(K33,A:A,A:A,0.5)</f>
        <v>Der Name der Rose</v>
      </c>
      <c r="Q33" s="10"/>
    </row>
    <row r="34" spans="1:17">
      <c r="A34" s="11" t="s">
        <v>530</v>
      </c>
      <c r="B34" t="s">
        <v>1536</v>
      </c>
      <c r="C34" t="s">
        <v>1537</v>
      </c>
      <c r="D34" t="str" cm="1">
        <f t="array" ref="D34">SLOOKUP(C34,A:A,A:A,0.5)</f>
        <v>Der Prozess</v>
      </c>
      <c r="E34" t="str" cm="1">
        <f t="array" ref="E34">LLOOKUP(C34,A:A,A:A,0.5)</f>
        <v>Der Prozess</v>
      </c>
      <c r="F34" t="s">
        <v>1725</v>
      </c>
      <c r="G34" t="s">
        <v>1726</v>
      </c>
      <c r="H34" t="str" cm="1">
        <f t="array" ref="H34">SLOOKUP(G34,A:A,A:A,0.5)</f>
        <v>Der Prozess</v>
      </c>
      <c r="I34" t="str" cm="1">
        <f t="array" ref="I34">LLOOKUP(G34,A:A,A:A,0.5)</f>
        <v>Der Prozess</v>
      </c>
      <c r="J34" t="s">
        <v>530</v>
      </c>
      <c r="K34" t="s">
        <v>530</v>
      </c>
      <c r="L34" t="str" cm="1">
        <f t="array" ref="L34">SLOOKUP(K34,A:A,A:A,0.5)</f>
        <v>Der Prozess</v>
      </c>
      <c r="M34" t="str" cm="1">
        <f t="array" ref="M34">LLOOKUP(K34,A:A,A:A,0.5)</f>
        <v>Der Prozess</v>
      </c>
      <c r="Q34" s="10"/>
    </row>
    <row r="35" spans="1:17">
      <c r="A35" s="11" t="s">
        <v>544</v>
      </c>
      <c r="B35" t="s">
        <v>1538</v>
      </c>
      <c r="C35" t="s">
        <v>1539</v>
      </c>
      <c r="D35" t="str" cm="1">
        <f t="array" ref="D35">SLOOKUP(C35,A:A,A:A,0.5)</f>
        <v>Der Schaum der Tage</v>
      </c>
      <c r="E35" t="str" cm="1">
        <f t="array" ref="E35">LLOOKUP(C35,A:A,A:A,0.5)</f>
        <v>Der Schaum der Tage</v>
      </c>
      <c r="F35" t="s">
        <v>1727</v>
      </c>
      <c r="G35" t="s">
        <v>1728</v>
      </c>
      <c r="H35" t="str" cm="1">
        <f t="array" ref="H35">SLOOKUP(G35,A:A,A:A,0.5)</f>
        <v>Der Schaum der Tage</v>
      </c>
      <c r="I35" t="str" cm="1">
        <f t="array" ref="I35">LLOOKUP(G35,A:A,A:A,0.5)</f>
        <v>Der Schaum der Tage</v>
      </c>
      <c r="J35" t="s">
        <v>544</v>
      </c>
      <c r="K35" t="s">
        <v>544</v>
      </c>
      <c r="L35" t="str" cm="1">
        <f t="array" ref="L35">SLOOKUP(K35,A:A,A:A,0.5)</f>
        <v>Der Schaum der Tage</v>
      </c>
      <c r="M35" t="str" cm="1">
        <f t="array" ref="M35">LLOOKUP(K35,A:A,A:A,0.5)</f>
        <v>Der Schaum der Tage</v>
      </c>
      <c r="Q35" s="10"/>
    </row>
    <row r="36" spans="1:17">
      <c r="A36" s="11" t="s">
        <v>616</v>
      </c>
      <c r="B36" t="s">
        <v>1540</v>
      </c>
      <c r="C36" t="s">
        <v>1541</v>
      </c>
      <c r="D36" t="str" cm="1">
        <f t="array" ref="D36">SLOOKUP(C36,A:A,A:A,0.5)</f>
        <v>Der Scherz</v>
      </c>
      <c r="E36" t="str" cm="1">
        <f t="array" ref="E36">LLOOKUP(C36,A:A,A:A,0.5)</f>
        <v>Der Scherz</v>
      </c>
      <c r="F36" t="s">
        <v>1729</v>
      </c>
      <c r="G36" t="s">
        <v>1730</v>
      </c>
      <c r="H36" t="str" cm="1">
        <f t="array" ref="H36">SLOOKUP(G36,A:A,A:A,0.5)</f>
        <v>Der Scherz</v>
      </c>
      <c r="I36" t="str" cm="1">
        <f t="array" ref="I36">LLOOKUP(G36,A:A,A:A,0.5)</f>
        <v>Der Scherz</v>
      </c>
      <c r="J36" t="s">
        <v>616</v>
      </c>
      <c r="K36" t="s">
        <v>616</v>
      </c>
      <c r="L36" t="str" cm="1">
        <f t="array" ref="L36">SLOOKUP(K36,A:A,A:A,0.5)</f>
        <v>Der Scherz</v>
      </c>
      <c r="M36" t="str" cm="1">
        <f t="array" ref="M36">LLOOKUP(K36,A:A,A:A,0.5)</f>
        <v>Der Scherz</v>
      </c>
      <c r="Q36" s="10"/>
    </row>
    <row r="37" spans="1:17">
      <c r="A37" s="11" t="s">
        <v>626</v>
      </c>
      <c r="B37" t="s">
        <v>1542</v>
      </c>
      <c r="C37" t="s">
        <v>1543</v>
      </c>
      <c r="D37" t="str" cm="1">
        <f t="array" ref="D37">SLOOKUP(C37,A:A,A:A,0.5)</f>
        <v>Der seidene Schuh</v>
      </c>
      <c r="E37" t="str" cm="1">
        <f t="array" ref="E37">LLOOKUP(C37,A:A,A:A,0.5)</f>
        <v>Der seidene Schuh</v>
      </c>
      <c r="F37" t="s">
        <v>1731</v>
      </c>
      <c r="G37" t="s">
        <v>1732</v>
      </c>
      <c r="H37" t="str" cm="1">
        <f t="array" ref="H37">SLOOKUP(G37,A:A,A:A,0.5)</f>
        <v>Der seidene Schuh</v>
      </c>
      <c r="I37" t="str" cm="1">
        <f t="array" ref="I37">LLOOKUP(G37,A:A,A:A,0.5)</f>
        <v>Der seidene Schuh</v>
      </c>
      <c r="J37" t="s">
        <v>616</v>
      </c>
      <c r="K37" t="s">
        <v>616</v>
      </c>
      <c r="L37" t="str" cm="1">
        <f t="array" ref="L37">SLOOKUP(K37,A:A,A:A,0.5)</f>
        <v>Der Scherz</v>
      </c>
      <c r="M37" t="str" cm="1">
        <f t="array" ref="M37">LLOOKUP(K37,A:A,A:A,0.5)</f>
        <v>Der Scherz</v>
      </c>
      <c r="Q37" s="10"/>
    </row>
    <row r="38" spans="1:17">
      <c r="A38" s="11" t="s">
        <v>602</v>
      </c>
      <c r="B38" t="s">
        <v>1544</v>
      </c>
      <c r="C38" t="s">
        <v>1545</v>
      </c>
      <c r="D38" t="str" cm="1">
        <f t="array" ref="D38">SLOOKUP(C38,A:A,A:A,0.5)</f>
        <v>Der Zauberberg</v>
      </c>
      <c r="E38" t="str" cm="1">
        <f t="array" ref="E38">LLOOKUP(C38,A:A,A:A,0.5)</f>
        <v>Der Zauberberg</v>
      </c>
      <c r="F38" t="s">
        <v>1733</v>
      </c>
      <c r="G38" t="s">
        <v>1733</v>
      </c>
      <c r="H38" t="str" cm="1">
        <f t="array" ref="H38">SLOOKUP(G38,A:A,A:A,0.5)</f>
        <v>Der Zauberberg</v>
      </c>
      <c r="I38" t="str" cm="1">
        <f t="array" ref="I38">LLOOKUP(G38,A:A,A:A,0.5)</f>
        <v>Der Zauberberg</v>
      </c>
      <c r="J38" t="s">
        <v>602</v>
      </c>
      <c r="K38" t="s">
        <v>602</v>
      </c>
      <c r="L38" t="str" cm="1">
        <f t="array" ref="L38">SLOOKUP(K38,A:A,A:A,0.5)</f>
        <v>Der Zauberberg</v>
      </c>
      <c r="M38" t="str" cm="1">
        <f t="array" ref="M38">LLOOKUP(K38,A:A,A:A,0.5)</f>
        <v>Der Zauberberg</v>
      </c>
      <c r="Q38" s="10"/>
    </row>
    <row r="39" spans="1:17">
      <c r="A39" s="11" t="s">
        <v>702</v>
      </c>
      <c r="B39" t="s">
        <v>1546</v>
      </c>
      <c r="C39" t="s">
        <v>1547</v>
      </c>
      <c r="D39" t="str" cm="1">
        <f t="array" ref="D39">SLOOKUP(C39,A:A,A:A,0.5)</f>
        <v>Die Abenteuer von Blake und Mortimer</v>
      </c>
      <c r="E39" t="str" cm="1">
        <f t="array" ref="E39">LLOOKUP(C39,A:A,A:A,0.5)</f>
        <v>Die Abenteuer von Blake und Mortimer</v>
      </c>
      <c r="F39" t="s">
        <v>1734</v>
      </c>
      <c r="G39" t="s">
        <v>1735</v>
      </c>
      <c r="H39" t="str" cm="1">
        <f t="array" ref="H39">SLOOKUP(G39,A:A,A:A,0.5)</f>
        <v>Die Abenteuer von Blake und Mortimer</v>
      </c>
      <c r="I39" t="str" cm="1">
        <f t="array" ref="I39">LLOOKUP(G39,A:A,A:A,0.5)</f>
        <v>Die Abenteuer von Blake und Mortimer</v>
      </c>
      <c r="J39" t="s">
        <v>702</v>
      </c>
      <c r="K39" t="s">
        <v>702</v>
      </c>
      <c r="L39" t="str" cm="1">
        <f t="array" ref="L39">SLOOKUP(K39,A:A,A:A,0.5)</f>
        <v>Die Abenteuer von Blake und Mortimer</v>
      </c>
      <c r="M39" t="str" cm="1">
        <f t="array" ref="M39">LLOOKUP(K39,A:A,A:A,0.5)</f>
        <v>Die Abenteuer von Blake und Mortimer</v>
      </c>
      <c r="Q39" s="10"/>
    </row>
    <row r="40" spans="1:17">
      <c r="A40" s="11" t="s">
        <v>704</v>
      </c>
      <c r="B40" t="s">
        <v>1548</v>
      </c>
      <c r="C40" t="s">
        <v>1549</v>
      </c>
      <c r="D40" t="str" cm="1">
        <f t="array" ref="D40">SLOOKUP(C40,A:A,A:A,0.5)</f>
        <v>Die Aufzeichnungen des Malte Laurids Brigge</v>
      </c>
      <c r="E40" t="str" cm="1">
        <f t="array" ref="E40">LLOOKUP(C40,A:A,A:A,0.5)</f>
        <v>Die Aufzeichnungen des Malte Laurids Brigge</v>
      </c>
      <c r="F40" t="s">
        <v>1736</v>
      </c>
      <c r="G40" t="s">
        <v>1737</v>
      </c>
      <c r="H40" t="str" cm="1">
        <f t="array" ref="H40">SLOOKUP(G40,A:A,A:A,0.5)</f>
        <v>Die Aufzeichnungen des Malte Laurids Brigge</v>
      </c>
      <c r="I40" t="str" cm="1">
        <f t="array" ref="I40">LLOOKUP(G40,A:A,A:A,0.5)</f>
        <v>Die Aufzeichnungen des Malte Laurids Brigge</v>
      </c>
      <c r="J40" t="s">
        <v>704</v>
      </c>
      <c r="K40" t="s">
        <v>704</v>
      </c>
      <c r="L40" t="str" cm="1">
        <f t="array" ref="L40">SLOOKUP(K40,A:A,A:A,0.5)</f>
        <v>Die Aufzeichnungen des Malte Laurids Brigge</v>
      </c>
      <c r="M40" t="str" cm="1">
        <f t="array" ref="M40">LLOOKUP(K40,A:A,A:A,0.5)</f>
        <v>Die Aufzeichnungen des Malte Laurids Brigge</v>
      </c>
      <c r="Q40" s="10"/>
    </row>
    <row r="41" spans="1:17">
      <c r="A41" s="11" t="s">
        <v>582</v>
      </c>
      <c r="B41" t="s">
        <v>1550</v>
      </c>
      <c r="C41" t="s">
        <v>1551</v>
      </c>
      <c r="D41" t="str" cm="1">
        <f t="array" ref="D41">SLOOKUP(C41,A:A,A:A,0.5)</f>
        <v>Die Falschmünzer</v>
      </c>
      <c r="E41" t="str" cm="1">
        <f t="array" ref="E41">LLOOKUP(C41,A:A,A:A,0.5)</f>
        <v>Die Falschmünzer</v>
      </c>
      <c r="F41" t="s">
        <v>1738</v>
      </c>
      <c r="G41" t="s">
        <v>1739</v>
      </c>
      <c r="H41" t="str" cm="1">
        <f t="array" ref="H41">SLOOKUP(G41,A:A,A:A,0.5)</f>
        <v>Die Falschmünzer</v>
      </c>
      <c r="I41" t="str" cm="1">
        <f t="array" ref="I41">LLOOKUP(G41,A:A,A:A,0.5)</f>
        <v>Die Falschmünzer</v>
      </c>
      <c r="J41" t="s">
        <v>582</v>
      </c>
      <c r="K41" t="s">
        <v>582</v>
      </c>
      <c r="L41" t="str" cm="1">
        <f t="array" ref="L41">SLOOKUP(K41,A:A,A:A,0.5)</f>
        <v>Die Falschmünzer</v>
      </c>
      <c r="M41" t="str" cm="1">
        <f t="array" ref="M41">LLOOKUP(K41,A:A,A:A,0.5)</f>
        <v>Die Falschmünzer</v>
      </c>
      <c r="Q41" s="10"/>
    </row>
    <row r="42" spans="1:17">
      <c r="A42" s="11" t="s">
        <v>570</v>
      </c>
      <c r="B42" t="s">
        <v>1552</v>
      </c>
      <c r="C42" t="s">
        <v>1553</v>
      </c>
      <c r="D42" t="str" cm="1">
        <f t="array" ref="D42">SLOOKUP(C42,A:A,A:A,0.5)</f>
        <v>Die kahle Sängerin</v>
      </c>
      <c r="E42" t="str" cm="1">
        <f t="array" ref="E42">LLOOKUP(C42,A:A,A:A,0.5)</f>
        <v>Die kahle Sängerin</v>
      </c>
      <c r="F42" t="s">
        <v>1740</v>
      </c>
      <c r="G42" t="s">
        <v>1741</v>
      </c>
      <c r="H42" t="str" cm="1">
        <f t="array" ref="H42">SLOOKUP(G42,A:A,A:A,0.5)</f>
        <v>Die kahle Sängerin</v>
      </c>
      <c r="I42" t="str" cm="1">
        <f t="array" ref="I42">LLOOKUP(G42,A:A,A:A,0.5)</f>
        <v>Die kahle Sängerin</v>
      </c>
      <c r="J42" t="s">
        <v>570</v>
      </c>
      <c r="K42" t="s">
        <v>570</v>
      </c>
      <c r="L42" t="str" cm="1">
        <f t="array" ref="L42">SLOOKUP(K42,A:A,A:A,0.5)</f>
        <v>Die kahle Sängerin</v>
      </c>
      <c r="M42" t="str" cm="1">
        <f t="array" ref="M42">LLOOKUP(K42,A:A,A:A,0.5)</f>
        <v>Die kahle Sängerin</v>
      </c>
      <c r="Q42" s="10"/>
    </row>
    <row r="43" spans="1:17">
      <c r="A43" s="11" t="s">
        <v>662</v>
      </c>
      <c r="B43" t="s">
        <v>1554</v>
      </c>
      <c r="C43" t="s">
        <v>1555</v>
      </c>
      <c r="D43" t="str" cm="1">
        <f t="array" ref="D43">SLOOKUP(C43,A:A,A:A,0.5)</f>
        <v>Die Mars-Chroniken</v>
      </c>
      <c r="E43" t="str" cm="1">
        <f t="array" ref="E43">LLOOKUP(C43,A:A,A:A,0.5)</f>
        <v>Die Mars-Chroniken</v>
      </c>
      <c r="F43" t="s">
        <v>1742</v>
      </c>
      <c r="G43" t="s">
        <v>1743</v>
      </c>
      <c r="H43" t="str" cm="1">
        <f t="array" ref="H43">SLOOKUP(G43,A:A,A:A,0.5)</f>
        <v>Die Mars-Chroniken</v>
      </c>
      <c r="I43" t="str" cm="1">
        <f t="array" ref="I43">LLOOKUP(G43,A:A,A:A,0.5)</f>
        <v>Die Mars-Chroniken</v>
      </c>
      <c r="J43" t="s">
        <v>662</v>
      </c>
      <c r="K43" t="s">
        <v>662</v>
      </c>
      <c r="L43" t="str" cm="1">
        <f t="array" ref="L43">SLOOKUP(K43,A:A,A:A,0.5)</f>
        <v>Die Mars-Chroniken</v>
      </c>
      <c r="M43" t="str" cm="1">
        <f t="array" ref="M43">LLOOKUP(K43,A:A,A:A,0.5)</f>
        <v>Die Mars-Chroniken</v>
      </c>
      <c r="Q43" s="10"/>
    </row>
    <row r="44" spans="1:17">
      <c r="A44" s="11" t="s">
        <v>654</v>
      </c>
      <c r="B44" t="s">
        <v>1556</v>
      </c>
      <c r="C44" t="s">
        <v>1557</v>
      </c>
      <c r="D44" t="str" cm="1">
        <f t="array" ref="D44">SLOOKUP(C44,A:A,A:A,0.5)</f>
        <v>Die Ordnung der Dinge</v>
      </c>
      <c r="E44" t="str" cm="1">
        <f t="array" ref="E44">LLOOKUP(C44,A:A,A:A,0.5)</f>
        <v>Die Ordnung der Dinge</v>
      </c>
      <c r="F44" t="s">
        <v>1744</v>
      </c>
      <c r="G44" t="s">
        <v>1745</v>
      </c>
      <c r="H44" t="str" cm="1">
        <f t="array" ref="H44">SLOOKUP(G44,A:A,A:A,0.5)</f>
        <v>Die Ordnung der Dinge</v>
      </c>
      <c r="I44" t="str" cm="1">
        <f t="array" ref="I44">LLOOKUP(G44,A:A,A:A,0.5)</f>
        <v>Die Ordnung der Dinge</v>
      </c>
      <c r="J44" t="s">
        <v>654</v>
      </c>
      <c r="K44" t="s">
        <v>654</v>
      </c>
      <c r="L44" t="str" cm="1">
        <f t="array" ref="L44">SLOOKUP(K44,A:A,A:A,0.5)</f>
        <v>Die Ordnung der Dinge</v>
      </c>
      <c r="M44" t="str" cm="1">
        <f t="array" ref="M44">LLOOKUP(K44,A:A,A:A,0.5)</f>
        <v>Die Ordnung der Dinge</v>
      </c>
      <c r="Q44" s="10"/>
    </row>
    <row r="45" spans="1:17">
      <c r="A45" s="11" t="s">
        <v>586</v>
      </c>
      <c r="B45" t="s">
        <v>1558</v>
      </c>
      <c r="C45" t="s">
        <v>1559</v>
      </c>
      <c r="D45" t="str" cm="1">
        <f t="array" ref="D45">SLOOKUP(C45,A:A,A:A,0.5)</f>
        <v>Die Schöne des Herrn</v>
      </c>
      <c r="E45" t="str" cm="1">
        <f t="array" ref="E45">LLOOKUP(C45,A:A,A:A,0.5)</f>
        <v>Die Schöne des Herrn</v>
      </c>
      <c r="F45" t="s">
        <v>1746</v>
      </c>
      <c r="G45" t="s">
        <v>1747</v>
      </c>
      <c r="H45" t="str" cm="1">
        <f t="array" ref="H45">SLOOKUP(G45,A:A,A:A,0.5)</f>
        <v/>
      </c>
      <c r="I45" t="str" cm="1">
        <f t="array" ref="I45">LLOOKUP(G45,A:A,A:A,0.5)</f>
        <v>Die Schöne des Herrn</v>
      </c>
      <c r="J45" t="s">
        <v>586</v>
      </c>
      <c r="K45" t="s">
        <v>586</v>
      </c>
      <c r="L45" t="str" cm="1">
        <f t="array" ref="L45">SLOOKUP(K45,A:A,A:A,0.5)</f>
        <v>Die Schöne des Herrn</v>
      </c>
      <c r="M45" t="str" cm="1">
        <f t="array" ref="M45">LLOOKUP(K45,A:A,A:A,0.5)</f>
        <v>Die Schöne des Herrn</v>
      </c>
      <c r="Q45" s="10"/>
    </row>
    <row r="46" spans="1:17">
      <c r="A46" s="11" t="s">
        <v>574</v>
      </c>
      <c r="B46" t="s">
        <v>1560</v>
      </c>
      <c r="C46" t="s">
        <v>1561</v>
      </c>
      <c r="D46" t="str" cm="1">
        <f t="array" ref="D46">SLOOKUP(C46,A:A,A:A,0.5)</f>
        <v>Die schwarze Flamme</v>
      </c>
      <c r="E46" t="str" cm="1">
        <f t="array" ref="E46">LLOOKUP(C46,A:A,A:A,0.5)</f>
        <v>Die schwarze Flamme</v>
      </c>
      <c r="F46" t="s">
        <v>1748</v>
      </c>
      <c r="G46" t="s">
        <v>1749</v>
      </c>
      <c r="H46" t="str" cm="1">
        <f t="array" ref="H46">SLOOKUP(G46,A:A,A:A,0.5)</f>
        <v>Die schwarze Flamme</v>
      </c>
      <c r="I46" t="str" cm="1">
        <f t="array" ref="I46">LLOOKUP(G46,A:A,A:A,0.5)</f>
        <v>Die schwarze Flamme</v>
      </c>
      <c r="J46" t="s">
        <v>574</v>
      </c>
      <c r="K46" t="s">
        <v>574</v>
      </c>
      <c r="L46" t="str" cm="1">
        <f t="array" ref="L46">SLOOKUP(K46,A:A,A:A,0.5)</f>
        <v>Die schwarze Flamme</v>
      </c>
      <c r="M46" t="str" cm="1">
        <f t="array" ref="M46">LLOOKUP(K46,A:A,A:A,0.5)</f>
        <v>Die schwarze Flamme</v>
      </c>
      <c r="Q46" s="10"/>
    </row>
    <row r="47" spans="1:17">
      <c r="A47" s="11" t="s">
        <v>612</v>
      </c>
      <c r="B47" t="s">
        <v>1562</v>
      </c>
      <c r="C47" t="s">
        <v>1563</v>
      </c>
      <c r="D47" t="str" cm="1">
        <f t="array" ref="D47">SLOOKUP(C47,A:A,A:A,0.5)</f>
        <v>Die Sonne Satans</v>
      </c>
      <c r="E47" t="str" cm="1">
        <f t="array" ref="E47">LLOOKUP(C47,A:A,A:A,0.5)</f>
        <v>Die Sonne Satans</v>
      </c>
      <c r="F47" t="s">
        <v>1750</v>
      </c>
      <c r="G47" t="s">
        <v>1751</v>
      </c>
      <c r="H47" t="str" cm="1">
        <f t="array" ref="H47">SLOOKUP(G47,A:A,A:A,0.5)</f>
        <v>Die Sonne Satans</v>
      </c>
      <c r="I47" t="str" cm="1">
        <f t="array" ref="I47">LLOOKUP(G47,A:A,A:A,0.5)</f>
        <v>Die Sonne Satans</v>
      </c>
      <c r="J47" t="s">
        <v>612</v>
      </c>
      <c r="K47" t="s">
        <v>612</v>
      </c>
      <c r="L47" t="str" cm="1">
        <f t="array" ref="L47">SLOOKUP(K47,A:A,A:A,0.5)</f>
        <v>Die Sonne Satans</v>
      </c>
      <c r="M47" t="str" cm="1">
        <f t="array" ref="M47">LLOOKUP(K47,A:A,A:A,0.5)</f>
        <v>Die Sonne Satans</v>
      </c>
      <c r="Q47" s="10"/>
    </row>
    <row r="48" spans="1:17">
      <c r="A48" s="11" t="s">
        <v>592</v>
      </c>
      <c r="B48" t="s">
        <v>1564</v>
      </c>
      <c r="C48" t="s">
        <v>1565</v>
      </c>
      <c r="D48" t="str" cm="1">
        <f t="array" ref="D48">SLOOKUP(C48,A:A,A:A,0.5)</f>
        <v>Die Tat der Thérèse Desqueyroux</v>
      </c>
      <c r="E48" t="str" cm="1">
        <f t="array" ref="E48">LLOOKUP(C48,A:A,A:A,0.5)</f>
        <v>Die Tat der Thérèse Desqueyroux</v>
      </c>
      <c r="F48" t="s">
        <v>1752</v>
      </c>
      <c r="G48" t="s">
        <v>1753</v>
      </c>
      <c r="H48" t="str" cm="1">
        <f t="array" ref="H48">SLOOKUP(G48,A:A,A:A,0.5)</f>
        <v>Die Tat der Thérèse Desqueyroux</v>
      </c>
      <c r="I48" t="str" cm="1">
        <f t="array" ref="I48">LLOOKUP(G48,A:A,A:A,0.5)</f>
        <v>Die Tat der Thérèse Desqueyroux</v>
      </c>
      <c r="J48" t="s">
        <v>592</v>
      </c>
      <c r="K48" t="s">
        <v>592</v>
      </c>
      <c r="L48" t="str" cm="1">
        <f t="array" ref="L48">SLOOKUP(K48,A:A,A:A,0.5)</f>
        <v>Die Tat der Thérèse Desqueyroux</v>
      </c>
      <c r="M48" t="str" cm="1">
        <f t="array" ref="M48">LLOOKUP(K48,A:A,A:A,0.5)</f>
        <v>Die Tat der Thérèse Desqueyroux</v>
      </c>
      <c r="Q48" s="10"/>
    </row>
    <row r="49" spans="1:17">
      <c r="A49" s="11" t="s">
        <v>580</v>
      </c>
      <c r="B49" t="s">
        <v>1566</v>
      </c>
      <c r="C49" t="s">
        <v>1567</v>
      </c>
      <c r="D49" t="str" cm="1">
        <f t="array" ref="D49">SLOOKUP(C49,A:A,A:A,0.5)</f>
        <v>Die Tatarenwüste</v>
      </c>
      <c r="E49" t="str" cm="1">
        <f t="array" ref="E49">LLOOKUP(C49,A:A,A:A,0.5)</f>
        <v>Die Tatarenwüste</v>
      </c>
      <c r="F49" t="s">
        <v>1754</v>
      </c>
      <c r="G49" t="s">
        <v>1755</v>
      </c>
      <c r="H49" t="str" cm="1">
        <f t="array" ref="H49">SLOOKUP(G49,A:A,A:A,0.5)</f>
        <v>Die Tatarenwüste</v>
      </c>
      <c r="I49" t="str" cm="1">
        <f t="array" ref="I49">LLOOKUP(G49,A:A,A:A,0.5)</f>
        <v>Die Tatarenwüste</v>
      </c>
      <c r="J49" t="s">
        <v>580</v>
      </c>
      <c r="K49" t="s">
        <v>580</v>
      </c>
      <c r="L49" t="str" cm="1">
        <f t="array" ref="L49">SLOOKUP(K49,A:A,A:A,0.5)</f>
        <v>Die Tatarenwüste</v>
      </c>
      <c r="M49" t="str" cm="1">
        <f t="array" ref="M49">LLOOKUP(K49,A:A,A:A,0.5)</f>
        <v>Die Tatarenwüste</v>
      </c>
      <c r="Q49" s="10"/>
    </row>
    <row r="50" spans="1:17">
      <c r="A50" s="11" t="s">
        <v>618</v>
      </c>
      <c r="B50" t="s">
        <v>1568</v>
      </c>
      <c r="C50" t="s">
        <v>1569</v>
      </c>
      <c r="D50" t="str" cm="1">
        <f t="array" ref="D50">SLOOKUP(C50,A:A,A:A,0.5)</f>
        <v>Die Verachtung</v>
      </c>
      <c r="E50" t="str" cm="1">
        <f t="array" ref="E50">LLOOKUP(C50,A:A,A:A,0.5)</f>
        <v>Die Verachtung</v>
      </c>
      <c r="F50" t="s">
        <v>1756</v>
      </c>
      <c r="G50" t="s">
        <v>1757</v>
      </c>
      <c r="H50" t="str" cm="1">
        <f t="array" ref="H50">SLOOKUP(G50,A:A,A:A,0.5)</f>
        <v>Die Verachtung</v>
      </c>
      <c r="I50" t="str" cm="1">
        <f t="array" ref="I50">LLOOKUP(G50,A:A,A:A,0.5)</f>
        <v>Die Verachtung</v>
      </c>
      <c r="J50" t="s">
        <v>618</v>
      </c>
      <c r="K50" t="s">
        <v>618</v>
      </c>
      <c r="L50" t="str" cm="1">
        <f t="array" ref="L50">SLOOKUP(K50,A:A,A:A,0.5)</f>
        <v>Die Verachtung</v>
      </c>
      <c r="M50" t="str" cm="1">
        <f t="array" ref="M50">LLOOKUP(K50,A:A,A:A,0.5)</f>
        <v>Die Verachtung</v>
      </c>
      <c r="Q50" s="10"/>
    </row>
    <row r="51" spans="1:17">
      <c r="A51" s="11" t="s">
        <v>650</v>
      </c>
      <c r="B51" t="s">
        <v>1570</v>
      </c>
      <c r="C51" t="s">
        <v>1571</v>
      </c>
      <c r="D51" t="str" cm="1">
        <f t="array" ref="D51">SLOOKUP(C51,A:A,A:A,0.5)</f>
        <v>Die verlorene Ehre der Katharina Blum</v>
      </c>
      <c r="E51" t="str" cm="1">
        <f t="array" ref="E51">LLOOKUP(C51,A:A,A:A,0.5)</f>
        <v>Die verlorene Ehre der Katharina Blum</v>
      </c>
      <c r="F51" t="s">
        <v>1758</v>
      </c>
      <c r="G51" t="s">
        <v>1759</v>
      </c>
      <c r="H51" t="str" cm="1">
        <f t="array" ref="H51">SLOOKUP(G51,A:A,A:A,0.5)</f>
        <v>Die verlorene Ehre der Katharina Blum</v>
      </c>
      <c r="I51" t="str" cm="1">
        <f t="array" ref="I51">LLOOKUP(G51,A:A,A:A,0.5)</f>
        <v>Die verlorene Ehre der Katharina Blum</v>
      </c>
      <c r="J51" t="s">
        <v>650</v>
      </c>
      <c r="K51" t="s">
        <v>650</v>
      </c>
      <c r="L51" t="str" cm="1">
        <f t="array" ref="L51">SLOOKUP(K51,A:A,A:A,0.5)</f>
        <v>Die verlorene Ehre der Katharina Blum</v>
      </c>
      <c r="M51" t="str" cm="1">
        <f t="array" ref="M51">LLOOKUP(K51,A:A,A:A,0.5)</f>
        <v>Die verlorene Ehre der Katharina Blum</v>
      </c>
      <c r="Q51" s="10"/>
    </row>
    <row r="52" spans="1:17">
      <c r="A52" s="11" t="s">
        <v>664</v>
      </c>
      <c r="B52" t="s">
        <v>1572</v>
      </c>
      <c r="C52" t="s">
        <v>1573</v>
      </c>
      <c r="D52" t="str" cm="1">
        <f t="array" ref="D52">SLOOKUP(C52,A:A,A:A,0.5)</f>
        <v>Die Verzückung der Lol V. Stein</v>
      </c>
      <c r="E52" t="str" cm="1">
        <f t="array" ref="E52">LLOOKUP(C52,A:A,A:A,0.5)</f>
        <v>Die Verzückung der Lol V. Stein</v>
      </c>
      <c r="F52" t="s">
        <v>1760</v>
      </c>
      <c r="G52" t="s">
        <v>1761</v>
      </c>
      <c r="H52" t="str" cm="1">
        <f t="array" ref="H52">SLOOKUP(G52,A:A,A:A,0.5)</f>
        <v>Die Verzückung der Lol V. Stein</v>
      </c>
      <c r="I52" t="str" cm="1">
        <f t="array" ref="I52">LLOOKUP(G52,A:A,A:A,0.5)</f>
        <v>Die Verzückung der Lol V. Stein</v>
      </c>
      <c r="J52" t="s">
        <v>664</v>
      </c>
      <c r="K52" t="s">
        <v>664</v>
      </c>
      <c r="L52" t="str" cm="1">
        <f t="array" ref="L52">SLOOKUP(K52,A:A,A:A,0.5)</f>
        <v>Die Verzückung der Lol V. Stein</v>
      </c>
      <c r="M52" t="str" cm="1">
        <f t="array" ref="M52">LLOOKUP(K52,A:A,A:A,0.5)</f>
        <v>Die Verzückung der Lol V. Stein</v>
      </c>
      <c r="Q52" s="10"/>
    </row>
    <row r="53" spans="1:17">
      <c r="A53" s="11" t="s">
        <v>658</v>
      </c>
      <c r="B53" t="s">
        <v>1574</v>
      </c>
      <c r="C53" t="s">
        <v>1575</v>
      </c>
      <c r="D53" t="str" cm="1">
        <f t="array" ref="D53">SLOOKUP(C53,A:A,A:A,0.5)</f>
        <v>Die wunderbare Reise des kleinen Nils Holgersson</v>
      </c>
      <c r="E53" t="str" cm="1">
        <f t="array" ref="E53">LLOOKUP(C53,A:A,A:A,0.5)</f>
        <v>Die wunderbare Reise des kleinen Nils Holgersson</v>
      </c>
      <c r="F53" t="s">
        <v>1575</v>
      </c>
      <c r="G53" t="s">
        <v>1762</v>
      </c>
      <c r="H53" t="str" cm="1">
        <f t="array" ref="H53">SLOOKUP(G53,A:A,A:A,0.5)</f>
        <v>Die wunderbare Reise des kleinen Nils Holgersson</v>
      </c>
      <c r="I53" t="str" cm="1">
        <f t="array" ref="I53">LLOOKUP(G53,A:A,A:A,0.5)</f>
        <v>Die wunderbare Reise des kleinen Nils Holgersson</v>
      </c>
      <c r="J53" t="s">
        <v>658</v>
      </c>
      <c r="K53" t="s">
        <v>658</v>
      </c>
      <c r="L53" t="str" cm="1">
        <f t="array" ref="L53">SLOOKUP(K53,A:A,A:A,0.5)</f>
        <v>Die wunderbare Reise des kleinen Nils Holgersson</v>
      </c>
      <c r="M53" t="str" cm="1">
        <f t="array" ref="M53">LLOOKUP(K53,A:A,A:A,0.5)</f>
        <v>Die wunderbare Reise des kleinen Nils Holgersson</v>
      </c>
      <c r="Q53" s="10"/>
    </row>
    <row r="54" spans="1:17">
      <c r="A54" s="11" t="s">
        <v>572</v>
      </c>
      <c r="B54" t="s">
        <v>1576</v>
      </c>
      <c r="C54" t="s">
        <v>1577</v>
      </c>
      <c r="D54" t="str" cm="1">
        <f t="array" ref="D54">SLOOKUP(C54,A:A,A:A,0.5)</f>
        <v>Drei Abhandlungen zur Sexualtheorie</v>
      </c>
      <c r="E54" t="str" cm="1">
        <f t="array" ref="E54">LLOOKUP(C54,A:A,A:A,0.5)</f>
        <v>Drei Abhandlungen zur Sexualtheorie</v>
      </c>
      <c r="F54" t="s">
        <v>1763</v>
      </c>
      <c r="G54" t="s">
        <v>1764</v>
      </c>
      <c r="H54" t="str" cm="1">
        <f t="array" ref="H54">SLOOKUP(G54,A:A,A:A,0.5)</f>
        <v>Drei Abhandlungen zur Sexualtheorie</v>
      </c>
      <c r="I54" t="str" cm="1">
        <f t="array" ref="I54">LLOOKUP(G54,A:A,A:A,0.5)</f>
        <v>Drei Abhandlungen zur Sexualtheorie</v>
      </c>
      <c r="J54" t="s">
        <v>572</v>
      </c>
      <c r="K54" t="s">
        <v>572</v>
      </c>
      <c r="L54" t="str" cm="1">
        <f t="array" ref="L54">SLOOKUP(K54,A:A,A:A,0.5)</f>
        <v>Drei Abhandlungen zur Sexualtheorie</v>
      </c>
      <c r="M54" t="str" cm="1">
        <f t="array" ref="M54">LLOOKUP(K54,A:A,A:A,0.5)</f>
        <v>Drei Abhandlungen zur Sexualtheorie</v>
      </c>
      <c r="Q54" s="10"/>
    </row>
    <row r="55" spans="1:17">
      <c r="A55" s="11" t="s">
        <v>660</v>
      </c>
      <c r="B55" t="s">
        <v>1578</v>
      </c>
      <c r="C55" t="s">
        <v>1579</v>
      </c>
      <c r="D55" t="str" cm="1">
        <f t="array" ref="D55">SLOOKUP(C55,A:A,A:A,0.5)</f>
        <v>Ein Zimmer für sich allein</v>
      </c>
      <c r="E55" t="str" cm="1">
        <f t="array" ref="E55">LLOOKUP(C55,A:A,A:A,0.5)</f>
        <v>Ein Zimmer für sich allein</v>
      </c>
      <c r="F55" t="s">
        <v>1765</v>
      </c>
      <c r="G55" t="s">
        <v>1766</v>
      </c>
      <c r="H55" t="str" cm="1">
        <f t="array" ref="H55">SLOOKUP(G55,A:A,A:A,0.5)</f>
        <v>Ein Zimmer für sich allein</v>
      </c>
      <c r="I55" t="str" cm="1">
        <f t="array" ref="I55">LLOOKUP(G55,A:A,A:A,0.5)</f>
        <v>Ein Zimmer für sich allein</v>
      </c>
      <c r="J55" t="s">
        <v>660</v>
      </c>
      <c r="K55" t="s">
        <v>660</v>
      </c>
      <c r="L55" t="str" cm="1">
        <f t="array" ref="L55">SLOOKUP(K55,A:A,A:A,0.5)</f>
        <v>Ein Zimmer für sich allein</v>
      </c>
      <c r="M55" t="str" cm="1">
        <f t="array" ref="M55">LLOOKUP(K55,A:A,A:A,0.5)</f>
        <v>Ein Zimmer für sich allein</v>
      </c>
      <c r="Q55" s="10"/>
    </row>
    <row r="56" spans="1:17">
      <c r="A56" s="11" t="s">
        <v>708</v>
      </c>
      <c r="B56" t="s">
        <v>708</v>
      </c>
      <c r="C56" t="s">
        <v>1580</v>
      </c>
      <c r="D56" t="str" cm="1">
        <f t="array" ref="D56">SLOOKUP(C56,A:A,A:A,0.5)</f>
        <v>Elemente und Ursprünge totaler Herrschaft</v>
      </c>
      <c r="E56" t="str" cm="1">
        <f t="array" ref="E56">LLOOKUP(C56,A:A,A:A,0.5)</f>
        <v>Elemente und Ursprünge totaler Herrschaft</v>
      </c>
      <c r="F56" t="s">
        <v>1767</v>
      </c>
      <c r="G56" t="s">
        <v>1768</v>
      </c>
      <c r="H56" t="str" cm="1">
        <f t="array" ref="H56">SLOOKUP(G56,A:A,A:A,0.5)</f>
        <v>Elemente und Ursprünge totaler Herrschaft</v>
      </c>
      <c r="I56" t="str" cm="1">
        <f t="array" ref="I56">LLOOKUP(G56,A:A,A:A,0.5)</f>
        <v>Elemente und Ursprünge totaler Herrschaft</v>
      </c>
      <c r="J56" t="s">
        <v>708</v>
      </c>
      <c r="K56" t="s">
        <v>708</v>
      </c>
      <c r="L56" t="str" cm="1">
        <f t="array" ref="L56">SLOOKUP(K56,A:A,A:A,0.5)</f>
        <v>Elemente und Ursprünge totaler Herrschaft</v>
      </c>
      <c r="M56" t="str" cm="1">
        <f t="array" ref="M56">LLOOKUP(K56,A:A,A:A,0.5)</f>
        <v>Elemente und Ursprünge totaler Herrschaft</v>
      </c>
      <c r="Q56" s="10"/>
    </row>
    <row r="57" spans="1:17">
      <c r="A57" s="11" t="s">
        <v>680</v>
      </c>
      <c r="B57" t="s">
        <v>1581</v>
      </c>
      <c r="C57" t="s">
        <v>1582</v>
      </c>
      <c r="D57" t="str" cm="1">
        <f t="array" ref="D57">SLOOKUP(C57,A:A,A:A,0.5)</f>
        <v>Fiktionen</v>
      </c>
      <c r="E57" t="str" cm="1">
        <f t="array" ref="E57">LLOOKUP(C57,A:A,A:A,0.5)</f>
        <v>Fiktionen</v>
      </c>
      <c r="F57" t="s">
        <v>1769</v>
      </c>
      <c r="G57" t="s">
        <v>1770</v>
      </c>
      <c r="H57" t="str" cm="1">
        <f t="array" ref="H57">SLOOKUP(G57,A:A,A:A,0.5)</f>
        <v>Zigeunerromanzen</v>
      </c>
      <c r="I57" t="str" cm="1">
        <f t="array" ref="I57">LLOOKUP(G57,A:A,A:A,0.5)</f>
        <v>Fiktionen</v>
      </c>
      <c r="J57" t="s">
        <v>688</v>
      </c>
      <c r="K57" t="s">
        <v>688</v>
      </c>
      <c r="L57" t="str" cm="1">
        <f t="array" ref="L57">SLOOKUP(K57,A:A,A:A,0.5)</f>
        <v>Zigeunerromanzen</v>
      </c>
      <c r="M57" t="str" cm="1">
        <f t="array" ref="M57">LLOOKUP(K57,A:A,A:A,0.5)</f>
        <v>Zigeunerromanzen</v>
      </c>
      <c r="Q57" s="10"/>
    </row>
    <row r="58" spans="1:17">
      <c r="A58" s="11" t="s">
        <v>632</v>
      </c>
      <c r="B58" t="s">
        <v>1583</v>
      </c>
      <c r="C58" t="s">
        <v>1584</v>
      </c>
      <c r="D58" t="str" cm="1">
        <f t="array" ref="D58">SLOOKUP(C58,A:A,A:A,0.5)</f>
        <v>Freitag oder Im Schoss des Pazifik</v>
      </c>
      <c r="E58" t="str" cm="1">
        <f t="array" ref="E58">LLOOKUP(C58,A:A,A:A,0.5)</f>
        <v>Freitag oder Im Schoss des Pazifik</v>
      </c>
      <c r="F58" t="s">
        <v>1771</v>
      </c>
      <c r="G58" t="s">
        <v>1772</v>
      </c>
      <c r="H58" t="str" cm="1">
        <f t="array" ref="H58">SLOOKUP(G58,A:A,A:A,0.5)</f>
        <v>Freitag oder Im Schoss des Pazifik</v>
      </c>
      <c r="I58" t="str" cm="1">
        <f t="array" ref="I58">LLOOKUP(G58,A:A,A:A,0.5)</f>
        <v>Freitag oder Im Schoss des Pazifik</v>
      </c>
      <c r="J58" t="s">
        <v>632</v>
      </c>
      <c r="K58" t="s">
        <v>632</v>
      </c>
      <c r="L58" t="str" cm="1">
        <f t="array" ref="L58">SLOOKUP(K58,A:A,A:A,0.5)</f>
        <v>Freitag oder Im Schoss des Pazifik</v>
      </c>
      <c r="M58" t="str" cm="1">
        <f t="array" ref="M58">LLOOKUP(K58,A:A,A:A,0.5)</f>
        <v>Freitag oder Im Schoss des Pazifik</v>
      </c>
      <c r="Q58" s="10"/>
    </row>
    <row r="59" spans="1:17">
      <c r="A59" s="11" t="s">
        <v>538</v>
      </c>
      <c r="B59" t="s">
        <v>1585</v>
      </c>
      <c r="C59" t="s">
        <v>1586</v>
      </c>
      <c r="D59" t="str" cm="1">
        <f t="array" ref="D59">SLOOKUP(C59,A:A,A:A,0.5)</f>
        <v>Früchte des Zorns</v>
      </c>
      <c r="E59" t="str" cm="1">
        <f t="array" ref="E59">LLOOKUP(C59,A:A,A:A,0.5)</f>
        <v>Früchte des Zorns</v>
      </c>
      <c r="F59" t="s">
        <v>1773</v>
      </c>
      <c r="G59" t="s">
        <v>1774</v>
      </c>
      <c r="H59" t="str" cm="1">
        <f t="array" ref="H59">SLOOKUP(G59,A:A,A:A,0.5)</f>
        <v>Früchte des Zorns</v>
      </c>
      <c r="I59" t="str" cm="1">
        <f t="array" ref="I59">LLOOKUP(G59,A:A,A:A,0.5)</f>
        <v>Früchte des Zorns</v>
      </c>
      <c r="J59" t="s">
        <v>538</v>
      </c>
      <c r="K59" t="s">
        <v>538</v>
      </c>
      <c r="L59" t="str" cm="1">
        <f t="array" ref="L59">SLOOKUP(K59,A:A,A:A,0.5)</f>
        <v>Früchte des Zorns</v>
      </c>
      <c r="M59" t="str" cm="1">
        <f t="array" ref="M59">LLOOKUP(K59,A:A,A:A,0.5)</f>
        <v>Früchte des Zorns</v>
      </c>
      <c r="Q59" s="10"/>
    </row>
    <row r="60" spans="1:17">
      <c r="A60" s="11" t="s">
        <v>696</v>
      </c>
      <c r="B60" t="s">
        <v>1587</v>
      </c>
      <c r="C60" t="s">
        <v>1588</v>
      </c>
      <c r="D60" t="str" cm="1">
        <f t="array" ref="D60">SLOOKUP(C60,A:A,A:A,0.5)</f>
        <v>Fureur et mystère</v>
      </c>
      <c r="E60" t="str" cm="1">
        <f t="array" ref="E60">LLOOKUP(C60,A:A,A:A,0.5)</f>
        <v>Fureur et mystère</v>
      </c>
      <c r="F60" t="s">
        <v>1775</v>
      </c>
      <c r="G60" t="s">
        <v>1776</v>
      </c>
      <c r="H60" t="str" cm="1">
        <f t="array" ref="H60">SLOOKUP(G60,A:A,A:A,0.5)</f>
        <v>Fureur et mystère</v>
      </c>
      <c r="I60" t="str" cm="1">
        <f t="array" ref="I60">LLOOKUP(G60,A:A,A:A,0.5)</f>
        <v>Fureur et mystère</v>
      </c>
      <c r="J60" t="s">
        <v>696</v>
      </c>
      <c r="K60" t="s">
        <v>696</v>
      </c>
      <c r="L60" t="str" cm="1">
        <f t="array" ref="L60">SLOOKUP(K60,A:A,A:A,0.5)</f>
        <v>Fureur et mystère</v>
      </c>
      <c r="M60" t="str" cm="1">
        <f t="array" ref="M60">LLOOKUP(K60,A:A,A:A,0.5)</f>
        <v>Fureur et mystère</v>
      </c>
      <c r="Q60" s="10"/>
    </row>
    <row r="61" spans="1:17">
      <c r="A61" s="11" t="s">
        <v>717</v>
      </c>
      <c r="B61" t="s">
        <v>717</v>
      </c>
      <c r="C61" t="s">
        <v>1589</v>
      </c>
      <c r="D61" t="str" cm="1">
        <f t="array" ref="D61">SLOOKUP(C61,A:A,A:A,0.5)</f>
        <v>Gaston</v>
      </c>
      <c r="E61" t="str" cm="1">
        <f t="array" ref="E61">LLOOKUP(C61,A:A,A:A,0.5)</f>
        <v>Gaston</v>
      </c>
      <c r="F61" t="s">
        <v>1777</v>
      </c>
      <c r="G61" t="s">
        <v>1778</v>
      </c>
      <c r="H61" t="str" cm="1">
        <f t="array" ref="H61">SLOOKUP(G61,A:A,A:A,0.5)</f>
        <v>Gaston</v>
      </c>
      <c r="I61" t="str" cm="1">
        <f t="array" ref="I61">LLOOKUP(G61,A:A,A:A,0.5)</f>
        <v>Asterix der Gallier</v>
      </c>
      <c r="J61" t="s">
        <v>717</v>
      </c>
      <c r="K61" t="s">
        <v>717</v>
      </c>
      <c r="L61" t="str" cm="1">
        <f t="array" ref="L61">SLOOKUP(K61,A:A,A:A,0.5)</f>
        <v>Gaston</v>
      </c>
      <c r="M61" t="str" cm="1">
        <f t="array" ref="M61">LLOOKUP(K61,A:A,A:A,0.5)</f>
        <v>Gaston</v>
      </c>
      <c r="Q61" s="10"/>
    </row>
    <row r="62" spans="1:17">
      <c r="A62" s="11" t="s">
        <v>642</v>
      </c>
      <c r="B62" t="s">
        <v>853</v>
      </c>
      <c r="C62" t="s">
        <v>1590</v>
      </c>
      <c r="D62" t="str" cm="1">
        <f t="array" ref="D62">SLOOKUP(C62,A:A,A:A,0.5)</f>
        <v>Hauptstadt der Schmerzen</v>
      </c>
      <c r="E62" t="str" cm="1">
        <f t="array" ref="E62">LLOOKUP(C62,A:A,A:A,0.5)</f>
        <v>Hauptstadt der Schmerzen</v>
      </c>
      <c r="F62" t="s">
        <v>1779</v>
      </c>
      <c r="G62" t="s">
        <v>1780</v>
      </c>
      <c r="H62" t="str" cm="1">
        <f t="array" ref="H62">SLOOKUP(G62,A:A,A:A,0.5)</f>
        <v>Hauptstadt der Schmerzen</v>
      </c>
      <c r="I62" t="str" cm="1">
        <f t="array" ref="I62">LLOOKUP(G62,A:A,A:A,0.5)</f>
        <v>Hauptstadt der Schmerzen</v>
      </c>
      <c r="J62" t="s">
        <v>642</v>
      </c>
      <c r="K62" t="s">
        <v>642</v>
      </c>
      <c r="L62" t="str" cm="1">
        <f t="array" ref="L62">SLOOKUP(K62,A:A,A:A,0.5)</f>
        <v>Hauptstadt der Schmerzen</v>
      </c>
      <c r="M62" t="str" cm="1">
        <f t="array" ref="M62">LLOOKUP(K62,A:A,A:A,0.5)</f>
        <v>Hauptstadt der Schmerzen</v>
      </c>
      <c r="Q62" s="10"/>
    </row>
    <row r="63" spans="1:17">
      <c r="A63" s="11" t="s">
        <v>588</v>
      </c>
      <c r="B63" t="s">
        <v>1591</v>
      </c>
      <c r="C63" t="s">
        <v>1592</v>
      </c>
      <c r="D63" t="str" cm="1">
        <f t="array" ref="D63">SLOOKUP(C63,A:A,A:A,0.5)</f>
        <v>Hundert Jahre Einsamkeit</v>
      </c>
      <c r="E63" t="str" cm="1">
        <f t="array" ref="E63">LLOOKUP(C63,A:A,A:A,0.5)</f>
        <v>Hundert Jahre Einsamkeit</v>
      </c>
      <c r="F63" t="s">
        <v>1781</v>
      </c>
      <c r="G63" t="s">
        <v>1782</v>
      </c>
      <c r="H63" t="str" cm="1">
        <f t="array" ref="H63">SLOOKUP(G63,A:A,A:A,0.5)</f>
        <v>Hundert Jahre Einsamkeit</v>
      </c>
      <c r="I63" t="str" cm="1">
        <f t="array" ref="I63">LLOOKUP(G63,A:A,A:A,0.5)</f>
        <v>Hundert Jahre Einsamkeit</v>
      </c>
      <c r="J63" t="s">
        <v>588</v>
      </c>
      <c r="K63" t="s">
        <v>588</v>
      </c>
      <c r="L63" t="str" cm="1">
        <f t="array" ref="L63">SLOOKUP(K63,A:A,A:A,0.5)</f>
        <v>Hundert Jahre Einsamkeit</v>
      </c>
      <c r="M63" t="str" cm="1">
        <f t="array" ref="M63">LLOOKUP(K63,A:A,A:A,0.5)</f>
        <v>Hundert Jahre Einsamkeit</v>
      </c>
      <c r="Q63" s="10"/>
    </row>
    <row r="64" spans="1:17">
      <c r="A64" s="11" t="s">
        <v>636</v>
      </c>
      <c r="B64" t="s">
        <v>1593</v>
      </c>
      <c r="C64" t="s">
        <v>1594</v>
      </c>
      <c r="D64" t="str" cm="1">
        <f t="array" ref="D64">SLOOKUP(C64,A:A,A:A,0.5)</f>
        <v>Ist das ein Mensch?</v>
      </c>
      <c r="E64" t="str" cm="1">
        <f t="array" ref="E64">LLOOKUP(C64,A:A,A:A,0.5)</f>
        <v>Ist das ein Mensch?</v>
      </c>
      <c r="F64" t="s">
        <v>1783</v>
      </c>
      <c r="G64" t="s">
        <v>1784</v>
      </c>
      <c r="H64" t="str" cm="1">
        <f t="array" ref="H64">SLOOKUP(G64,A:A,A:A,0.5)</f>
        <v>Ist das ein Mensch?</v>
      </c>
      <c r="I64" t="str" cm="1">
        <f t="array" ref="I64">LLOOKUP(G64,A:A,A:A,0.5)</f>
        <v>Ist das ein Mensch?</v>
      </c>
      <c r="J64" t="s">
        <v>636</v>
      </c>
      <c r="K64" t="s">
        <v>636</v>
      </c>
      <c r="L64" t="str" cm="1">
        <f t="array" ref="L64">SLOOKUP(K64,A:A,A:A,0.5)</f>
        <v>Ist das ein Mensch?</v>
      </c>
      <c r="M64" t="str" cm="1">
        <f t="array" ref="M64">LLOOKUP(K64,A:A,A:A,0.5)</f>
        <v>Ist das ein Mensch?</v>
      </c>
      <c r="Q64" s="10"/>
    </row>
    <row r="65" spans="1:17">
      <c r="A65" s="11" t="s">
        <v>700</v>
      </c>
      <c r="B65" t="s">
        <v>1595</v>
      </c>
      <c r="C65" t="s">
        <v>1596</v>
      </c>
      <c r="D65" t="str" cm="1">
        <f t="array" ref="D65">SLOOKUP(C65,A:A,A:A,0.5)</f>
        <v>Keine Orchideen für Mrs. Blandish</v>
      </c>
      <c r="E65" t="str" cm="1">
        <f t="array" ref="E65">LLOOKUP(C65,A:A,A:A,0.5)</f>
        <v>Keine Orchideen für Mrs. Blandish</v>
      </c>
      <c r="F65" t="s">
        <v>1785</v>
      </c>
      <c r="G65" t="s">
        <v>1786</v>
      </c>
      <c r="H65" t="str" cm="1">
        <f t="array" ref="H65">SLOOKUP(G65,A:A,A:A,0.5)</f>
        <v>Keine Orchideen für Mrs. Blandish</v>
      </c>
      <c r="I65" t="str" cm="1">
        <f t="array" ref="I65">LLOOKUP(G65,A:A,A:A,0.5)</f>
        <v>Keine Orchideen für Mrs. Blandish</v>
      </c>
      <c r="J65" t="s">
        <v>700</v>
      </c>
      <c r="K65" t="s">
        <v>700</v>
      </c>
      <c r="L65" t="str" cm="1">
        <f t="array" ref="L65">SLOOKUP(K65,A:A,A:A,0.5)</f>
        <v>Keine Orchideen für Mrs. Blandish</v>
      </c>
      <c r="M65" t="str" cm="1">
        <f t="array" ref="M65">LLOOKUP(K65,A:A,A:A,0.5)</f>
        <v>Keine Orchideen für Mrs. Blandish</v>
      </c>
      <c r="Q65" s="10"/>
    </row>
    <row r="66" spans="1:17">
      <c r="A66" s="11" t="s">
        <v>600</v>
      </c>
      <c r="B66" t="s">
        <v>1597</v>
      </c>
      <c r="C66" t="s">
        <v>1598</v>
      </c>
      <c r="D66" t="str" cm="1">
        <f t="array" ref="D66">SLOOKUP(C66,A:A,A:A,0.5)</f>
        <v>Lady Chatterleys Liebhaber</v>
      </c>
      <c r="E66" t="str" cm="1">
        <f t="array" ref="E66">LLOOKUP(C66,A:A,A:A,0.5)</f>
        <v>Lady Chatterleys Liebhaber</v>
      </c>
      <c r="F66" t="s">
        <v>1787</v>
      </c>
      <c r="G66" t="s">
        <v>1788</v>
      </c>
      <c r="H66" t="str" cm="1">
        <f t="array" ref="H66">SLOOKUP(G66,A:A,A:A,0.5)</f>
        <v>Lady Chatterleys Liebhaber</v>
      </c>
      <c r="I66" t="str" cm="1">
        <f t="array" ref="I66">LLOOKUP(G66,A:A,A:A,0.5)</f>
        <v>Lady Chatterleys Liebhaber</v>
      </c>
      <c r="J66" t="s">
        <v>600</v>
      </c>
      <c r="K66" t="s">
        <v>600</v>
      </c>
      <c r="L66" t="str" cm="1">
        <f t="array" ref="L66">SLOOKUP(K66,A:A,A:A,0.5)</f>
        <v>Lady Chatterleys Liebhaber</v>
      </c>
      <c r="M66" t="str" cm="1">
        <f t="array" ref="M66">LLOOKUP(K66,A:A,A:A,0.5)</f>
        <v>Lady Chatterleys Liebhaber</v>
      </c>
      <c r="Q66" s="10"/>
    </row>
    <row r="67" spans="1:17">
      <c r="A67" s="11" t="s">
        <v>640</v>
      </c>
      <c r="B67" t="s">
        <v>1599</v>
      </c>
      <c r="C67" t="s">
        <v>1600</v>
      </c>
      <c r="D67" t="str" cm="1">
        <f t="array" ref="D67">SLOOKUP(C67,A:A,A:A,0.5)</f>
        <v>Les Vrilles de la vigne</v>
      </c>
      <c r="E67" t="str" cm="1">
        <f t="array" ref="E67">LLOOKUP(C67,A:A,A:A,0.5)</f>
        <v>Les Vrilles de la vigne</v>
      </c>
      <c r="F67" t="s">
        <v>1789</v>
      </c>
      <c r="G67" t="s">
        <v>1790</v>
      </c>
      <c r="H67" t="str" cm="1">
        <f t="array" ref="H67">SLOOKUP(G67,A:A,A:A,0.5)</f>
        <v>Les Vrilles de la vigne</v>
      </c>
      <c r="I67" t="str" cm="1">
        <f t="array" ref="I67">LLOOKUP(G67,A:A,A:A,0.5)</f>
        <v>Les Vrilles de la vigne</v>
      </c>
      <c r="J67" t="s">
        <v>640</v>
      </c>
      <c r="K67" t="s">
        <v>640</v>
      </c>
      <c r="L67" t="str" cm="1">
        <f t="array" ref="L67">SLOOKUP(K67,A:A,A:A,0.5)</f>
        <v>Les Vrilles de la vigne</v>
      </c>
      <c r="M67" t="str" cm="1">
        <f t="array" ref="M67">LLOOKUP(K67,A:A,A:A,0.5)</f>
        <v>Les Vrilles de la vigne</v>
      </c>
      <c r="Q67" s="10"/>
    </row>
    <row r="68" spans="1:17">
      <c r="A68" s="11" t="s">
        <v>576</v>
      </c>
      <c r="B68" t="s">
        <v>1601</v>
      </c>
      <c r="C68" t="s">
        <v>1602</v>
      </c>
      <c r="D68" t="str" cm="1">
        <f t="array" ref="D68">SLOOKUP(C68,A:A,A:A,0.5)</f>
        <v>Lolita</v>
      </c>
      <c r="E68" t="str" cm="1">
        <f t="array" ref="E68">LLOOKUP(C68,A:A,A:A,0.5)</f>
        <v>Lolita</v>
      </c>
      <c r="F68" t="s">
        <v>1791</v>
      </c>
      <c r="G68" t="s">
        <v>1792</v>
      </c>
      <c r="H68" t="str" cm="1">
        <f t="array" ref="H68">SLOOKUP(G68,A:A,A:A,0.5)</f>
        <v>Lord Jim</v>
      </c>
      <c r="I68" t="str" cm="1">
        <f t="array" ref="I68">LLOOKUP(G68,A:A,A:A,0.5)</f>
        <v>Auf der Suche nach der verlorenen Zeit</v>
      </c>
      <c r="J68" t="s">
        <v>576</v>
      </c>
      <c r="K68" t="s">
        <v>576</v>
      </c>
      <c r="L68" t="str" cm="1">
        <f t="array" ref="L68">SLOOKUP(K68,A:A,A:A,0.5)</f>
        <v>Lolita</v>
      </c>
      <c r="M68" t="str" cm="1">
        <f t="array" ref="M68">LLOOKUP(K68,A:A,A:A,0.5)</f>
        <v>Lolita</v>
      </c>
      <c r="Q68" s="10"/>
    </row>
    <row r="69" spans="1:17">
      <c r="A69" s="11" t="s">
        <v>672</v>
      </c>
      <c r="B69" t="s">
        <v>1603</v>
      </c>
      <c r="C69" t="s">
        <v>1604</v>
      </c>
      <c r="D69" t="str" cm="1">
        <f t="array" ref="D69">SLOOKUP(C69,A:A,A:A,0.5)</f>
        <v>Lord Jim</v>
      </c>
      <c r="E69" t="str" cm="1">
        <f t="array" ref="E69">LLOOKUP(C69,A:A,A:A,0.5)</f>
        <v>Lord Jim</v>
      </c>
      <c r="F69" t="s">
        <v>1793</v>
      </c>
      <c r="G69" t="s">
        <v>1794</v>
      </c>
      <c r="H69" t="str" cm="1">
        <f t="array" ref="H69">SLOOKUP(G69,A:A,A:A,0.5)</f>
        <v>Lord Jim</v>
      </c>
      <c r="I69" t="str" cm="1">
        <f t="array" ref="I69">LLOOKUP(G69,A:A,A:A,0.5)</f>
        <v>Lord Jim</v>
      </c>
      <c r="J69" t="s">
        <v>672</v>
      </c>
      <c r="K69" t="s">
        <v>672</v>
      </c>
      <c r="L69" t="str" cm="1">
        <f t="array" ref="L69">SLOOKUP(K69,A:A,A:A,0.5)</f>
        <v>Lord Jim</v>
      </c>
      <c r="M69" t="str" cm="1">
        <f t="array" ref="M69">LLOOKUP(K69,A:A,A:A,0.5)</f>
        <v>Lord Jim</v>
      </c>
      <c r="Q69" s="10"/>
    </row>
    <row r="70" spans="1:17">
      <c r="A70" s="11" t="s">
        <v>690</v>
      </c>
      <c r="B70" t="s">
        <v>1605</v>
      </c>
      <c r="C70" t="s">
        <v>1606</v>
      </c>
      <c r="D70" t="str" cm="1">
        <f t="array" ref="D70">SLOOKUP(C70,A:A,A:A,0.5)</f>
        <v>Maigret und Pietr der Lette</v>
      </c>
      <c r="E70" t="str" cm="1">
        <f t="array" ref="E70">LLOOKUP(C70,A:A,A:A,0.5)</f>
        <v>Maigret und Pietr der Lette</v>
      </c>
      <c r="F70" t="s">
        <v>1606</v>
      </c>
      <c r="G70" t="s">
        <v>1795</v>
      </c>
      <c r="H70" t="str" cm="1">
        <f t="array" ref="H70">SLOOKUP(G70,A:A,A:A,0.5)</f>
        <v>Maigret und Pietr der Lette</v>
      </c>
      <c r="I70" t="str" cm="1">
        <f t="array" ref="I70">LLOOKUP(G70,A:A,A:A,0.5)</f>
        <v>Maigret und Pietr der Lette</v>
      </c>
      <c r="J70" t="s">
        <v>690</v>
      </c>
      <c r="K70" t="s">
        <v>690</v>
      </c>
      <c r="L70" t="str" cm="1">
        <f t="array" ref="L70">SLOOKUP(K70,A:A,A:A,0.5)</f>
        <v>Maigret und Pietr der Lette</v>
      </c>
      <c r="M70" t="str" cm="1">
        <f t="array" ref="M70">LLOOKUP(K70,A:A,A:A,0.5)</f>
        <v>Maigret und Pietr der Lette</v>
      </c>
      <c r="Q70" s="10"/>
    </row>
    <row r="71" spans="1:17">
      <c r="A71" s="11" t="s">
        <v>678</v>
      </c>
      <c r="B71" t="s">
        <v>1607</v>
      </c>
      <c r="C71" t="s">
        <v>1608</v>
      </c>
      <c r="D71" t="str" cm="1">
        <f t="array" ref="D71">SLOOKUP(C71,A:A,A:A,0.5)</f>
        <v>Manhattan Transfer</v>
      </c>
      <c r="E71" t="str" cm="1">
        <f t="array" ref="E71">LLOOKUP(C71,A:A,A:A,0.5)</f>
        <v>Manhattan Transfer</v>
      </c>
      <c r="F71" t="s">
        <v>1796</v>
      </c>
      <c r="G71" t="s">
        <v>1796</v>
      </c>
      <c r="H71" t="str" cm="1">
        <f t="array" ref="H71">SLOOKUP(G71,A:A,A:A,0.5)</f>
        <v>Manhattan Transfer</v>
      </c>
      <c r="I71" t="str" cm="1">
        <f t="array" ref="I71">LLOOKUP(G71,A:A,A:A,0.5)</f>
        <v>Manhattan Transfer</v>
      </c>
      <c r="J71" t="s">
        <v>678</v>
      </c>
      <c r="K71" t="s">
        <v>678</v>
      </c>
      <c r="L71" t="str" cm="1">
        <f t="array" ref="L71">SLOOKUP(K71,A:A,A:A,0.5)</f>
        <v>Manhattan Transfer</v>
      </c>
      <c r="M71" t="str" cm="1">
        <f t="array" ref="M71">LLOOKUP(K71,A:A,A:A,0.5)</f>
        <v>Manhattan Transfer</v>
      </c>
      <c r="Q71" s="10"/>
    </row>
    <row r="72" spans="1:17">
      <c r="A72" s="11" t="s">
        <v>644</v>
      </c>
      <c r="B72" t="s">
        <v>1609</v>
      </c>
      <c r="C72" t="s">
        <v>1610</v>
      </c>
      <c r="D72" t="str" cm="1">
        <f t="array" ref="D72">SLOOKUP(C72,A:A,A:A,0.5)</f>
        <v>Martin Eden</v>
      </c>
      <c r="E72" t="str" cm="1">
        <f t="array" ref="E72">LLOOKUP(C72,A:A,A:A,0.5)</f>
        <v>Martin Eden</v>
      </c>
      <c r="F72" t="s">
        <v>1797</v>
      </c>
      <c r="G72" t="s">
        <v>1798</v>
      </c>
      <c r="H72" t="str" cm="1">
        <f t="array" ref="H72">SLOOKUP(G72,A:A,A:A,0.5)</f>
        <v/>
      </c>
      <c r="I72" t="str" cm="1">
        <f t="array" ref="I72">LLOOKUP(G72,A:A,A:A,0.5)</f>
        <v>Martin Eden</v>
      </c>
      <c r="J72" t="s">
        <v>644</v>
      </c>
      <c r="K72" t="s">
        <v>644</v>
      </c>
      <c r="L72" t="str" cm="1">
        <f t="array" ref="L72">SLOOKUP(K72,A:A,A:A,0.5)</f>
        <v>Martin Eden</v>
      </c>
      <c r="M72" t="str" cm="1">
        <f t="array" ref="M72">LLOOKUP(K72,A:A,A:A,0.5)</f>
        <v>Martin Eden</v>
      </c>
      <c r="Q72" s="10"/>
    </row>
    <row r="73" spans="1:17">
      <c r="A73" s="11" t="s">
        <v>721</v>
      </c>
      <c r="B73" t="s">
        <v>1611</v>
      </c>
      <c r="C73" t="s">
        <v>1612</v>
      </c>
      <c r="D73" t="str" cm="1">
        <f t="array" ref="D73">SLOOKUP(C73,A:A,A:A,0.5)</f>
        <v>Mitternachtskinder</v>
      </c>
      <c r="E73" t="str" cm="1">
        <f t="array" ref="E73">LLOOKUP(C73,A:A,A:A,0.5)</f>
        <v>Mitternachtskinder</v>
      </c>
      <c r="F73" t="s">
        <v>1799</v>
      </c>
      <c r="G73" t="s">
        <v>1800</v>
      </c>
      <c r="H73" t="str" cm="1">
        <f t="array" ref="H73">SLOOKUP(G73,A:A,A:A,0.5)</f>
        <v>Mitternachtskinder</v>
      </c>
      <c r="I73" t="str" cm="1">
        <f t="array" ref="I73">LLOOKUP(G73,A:A,A:A,0.5)</f>
        <v>Mitternachtskinder</v>
      </c>
      <c r="J73" t="s">
        <v>721</v>
      </c>
      <c r="K73" t="s">
        <v>721</v>
      </c>
      <c r="L73" t="str" cm="1">
        <f t="array" ref="L73">SLOOKUP(K73,A:A,A:A,0.5)</f>
        <v>Mitternachtskinder</v>
      </c>
      <c r="M73" t="str" cm="1">
        <f t="array" ref="M73">LLOOKUP(K73,A:A,A:A,0.5)</f>
        <v>Mitternachtskinder</v>
      </c>
      <c r="Q73" s="10"/>
    </row>
    <row r="74" spans="1:17">
      <c r="A74" s="11" t="s">
        <v>682</v>
      </c>
      <c r="B74" t="s">
        <v>1613</v>
      </c>
      <c r="C74" t="s">
        <v>1614</v>
      </c>
      <c r="D74" t="str" cm="1">
        <f t="array" ref="D74">SLOOKUP(C74,A:A,A:A,0.5)</f>
        <v>Moloch. Das Leben des Moravagine</v>
      </c>
      <c r="E74" t="str" cm="1">
        <f t="array" ref="E74">LLOOKUP(C74,A:A,A:A,0.5)</f>
        <v>Moloch. Das Leben des Moravagine</v>
      </c>
      <c r="F74" t="s">
        <v>1614</v>
      </c>
      <c r="G74" t="s">
        <v>1801</v>
      </c>
      <c r="H74" t="str" cm="1">
        <f t="array" ref="H74">SLOOKUP(G74,A:A,A:A,0.5)</f>
        <v>Moloch. Das Leben des Moravagine</v>
      </c>
      <c r="I74" t="str" cm="1">
        <f t="array" ref="I74">LLOOKUP(G74,A:A,A:A,0.5)</f>
        <v>Moloch. Das Leben des Moravagine</v>
      </c>
      <c r="J74" t="s">
        <v>682</v>
      </c>
      <c r="K74" t="s">
        <v>682</v>
      </c>
      <c r="L74" t="str" cm="1">
        <f t="array" ref="L74">SLOOKUP(K74,A:A,A:A,0.5)</f>
        <v>Moloch. Das Leben des Moravagine</v>
      </c>
      <c r="M74" t="str" cm="1">
        <f t="array" ref="M74">LLOOKUP(K74,A:A,A:A,0.5)</f>
        <v>Moloch. Das Leben des Moravagine</v>
      </c>
      <c r="Q74" s="10"/>
    </row>
    <row r="75" spans="1:17">
      <c r="A75" s="11" t="s">
        <v>622</v>
      </c>
      <c r="B75" t="s">
        <v>1615</v>
      </c>
      <c r="C75" t="s">
        <v>1616</v>
      </c>
      <c r="D75" t="str" cm="1">
        <f t="array" ref="D75">SLOOKUP(C75,A:A,A:A,0.5)</f>
        <v>Lady Chatterleys Liebhaber</v>
      </c>
      <c r="E75" t="str" cm="1">
        <f t="array" ref="E75">LLOOKUP(C75,A:A,A:A,0.5)</f>
        <v>Die schwarze Flamme</v>
      </c>
      <c r="F75" t="s">
        <v>1802</v>
      </c>
      <c r="G75" t="s">
        <v>1803</v>
      </c>
      <c r="H75" t="str" cm="1">
        <f t="array" ref="H75">SLOOKUP(G75,A:A,A:A,0.5)</f>
        <v/>
      </c>
      <c r="I75" t="str" cm="1">
        <f t="array" ref="I75">LLOOKUP(G75,A:A,A:A,0.5)</f>
        <v>Die schwarze Flamme</v>
      </c>
      <c r="J75" t="s">
        <v>1855</v>
      </c>
      <c r="K75" t="s">
        <v>1855</v>
      </c>
      <c r="L75" t="str" cm="1">
        <f t="array" ref="L75">SLOOKUP(K75,A:A,A:A,0.5)</f>
        <v/>
      </c>
      <c r="M75" t="str" cm="1">
        <f t="array" ref="M75">LLOOKUP(K75,A:A,A:A,0.5)</f>
        <v/>
      </c>
      <c r="Q75" s="10"/>
    </row>
    <row r="76" spans="1:17">
      <c r="A76" s="11" t="s">
        <v>692</v>
      </c>
      <c r="B76" t="s">
        <v>1617</v>
      </c>
      <c r="C76" t="s">
        <v>1618</v>
      </c>
      <c r="D76" t="str" cm="1">
        <f t="array" ref="D76">SLOOKUP(C76,A:A,A:A,0.5)</f>
        <v>Notre-Dame-des-Fleurs</v>
      </c>
      <c r="E76" t="str" cm="1">
        <f t="array" ref="E76">LLOOKUP(C76,A:A,A:A,0.5)</f>
        <v>Notre-Dame-des-Fleurs</v>
      </c>
      <c r="F76" t="s">
        <v>1804</v>
      </c>
      <c r="G76" t="s">
        <v>1805</v>
      </c>
      <c r="H76" t="str" cm="1">
        <f t="array" ref="H76">SLOOKUP(G76,A:A,A:A,0.5)</f>
        <v>Notre-Dame-des-Fleurs</v>
      </c>
      <c r="I76" t="str" cm="1">
        <f t="array" ref="I76">LLOOKUP(G76,A:A,A:A,0.5)</f>
        <v>Notre-Dame-des-Fleurs</v>
      </c>
      <c r="J76" t="s">
        <v>692</v>
      </c>
      <c r="K76" t="s">
        <v>692</v>
      </c>
      <c r="L76" t="str" cm="1">
        <f t="array" ref="L76">SLOOKUP(K76,A:A,A:A,0.5)</f>
        <v>Notre-Dame-des-Fleurs</v>
      </c>
      <c r="M76" t="str" cm="1">
        <f t="array" ref="M76">LLOOKUP(K76,A:A,A:A,0.5)</f>
        <v>Notre-Dame-des-Fleurs</v>
      </c>
      <c r="Q76" s="10"/>
    </row>
    <row r="77" spans="1:17">
      <c r="A77" s="11" t="s">
        <v>706</v>
      </c>
      <c r="B77" t="s">
        <v>1619</v>
      </c>
      <c r="C77" t="s">
        <v>1620</v>
      </c>
      <c r="D77" t="str" cm="1">
        <f t="array" ref="D77">SLOOKUP(C77,A:A,A:A,0.5)</f>
        <v>Paris-Rom oder Die Modifikation</v>
      </c>
      <c r="E77" t="str" cm="1">
        <f t="array" ref="E77">LLOOKUP(C77,A:A,A:A,0.5)</f>
        <v>Paris-Rom oder Die Modifikation</v>
      </c>
      <c r="F77" t="s">
        <v>1806</v>
      </c>
      <c r="G77" t="s">
        <v>1807</v>
      </c>
      <c r="H77" t="str" cm="1">
        <f t="array" ref="H77">SLOOKUP(G77,A:A,A:A,0.5)</f>
        <v>Paris-Rom oder Die Modifikation</v>
      </c>
      <c r="I77" t="str" cm="1">
        <f t="array" ref="I77">LLOOKUP(G77,A:A,A:A,0.5)</f>
        <v>Paris-Rom oder Die Modifikation</v>
      </c>
      <c r="J77" t="s">
        <v>706</v>
      </c>
      <c r="K77" t="s">
        <v>706</v>
      </c>
      <c r="L77" t="str" cm="1">
        <f t="array" ref="L77">SLOOKUP(K77,A:A,A:A,0.5)</f>
        <v>Paris-Rom oder Die Modifikation</v>
      </c>
      <c r="M77" t="str" cm="1">
        <f t="array" ref="M77">LLOOKUP(K77,A:A,A:A,0.5)</f>
        <v>Paris-Rom oder Die Modifikation</v>
      </c>
      <c r="Q77" s="10"/>
    </row>
    <row r="78" spans="1:17">
      <c r="A78" s="11" t="s">
        <v>556</v>
      </c>
      <c r="B78" t="s">
        <v>1621</v>
      </c>
      <c r="C78" t="s">
        <v>1622</v>
      </c>
      <c r="D78" t="str" cm="1">
        <f t="array" ref="D78">SLOOKUP(C78,A:A,A:A,0.5)</f>
        <v>Paroles</v>
      </c>
      <c r="E78" t="str" cm="1">
        <f t="array" ref="E78">LLOOKUP(C78,A:A,A:A,0.5)</f>
        <v>Paroles</v>
      </c>
      <c r="F78" t="s">
        <v>1808</v>
      </c>
      <c r="G78" t="s">
        <v>1809</v>
      </c>
      <c r="H78" t="str" cm="1">
        <f t="array" ref="H78">SLOOKUP(G78,A:A,A:A,0.5)</f>
        <v>Paroles</v>
      </c>
      <c r="I78" t="str" cm="1">
        <f t="array" ref="I78">LLOOKUP(G78,A:A,A:A,0.5)</f>
        <v>Paroles</v>
      </c>
      <c r="J78" t="s">
        <v>556</v>
      </c>
      <c r="K78" t="s">
        <v>556</v>
      </c>
      <c r="L78" t="str" cm="1">
        <f t="array" ref="L78">SLOOKUP(K78,A:A,A:A,0.5)</f>
        <v>Paroles</v>
      </c>
      <c r="M78" t="str" cm="1">
        <f t="array" ref="M78">LLOOKUP(K78,A:A,A:A,0.5)</f>
        <v>Paroles</v>
      </c>
      <c r="Q78" s="10"/>
    </row>
    <row r="79" spans="1:17">
      <c r="A79" s="11" t="s">
        <v>536</v>
      </c>
      <c r="B79" t="s">
        <v>536</v>
      </c>
      <c r="C79" t="s">
        <v>1623</v>
      </c>
      <c r="D79" t="str" cm="1">
        <f t="array" ref="D79">SLOOKUP(C79,A:A,A:A,0.5)</f>
        <v>Reise ans Ende der Nacht</v>
      </c>
      <c r="E79" t="str" cm="1">
        <f t="array" ref="E79">LLOOKUP(C79,A:A,A:A,0.5)</f>
        <v>Reise ans Ende der Nacht</v>
      </c>
      <c r="F79" t="s">
        <v>1810</v>
      </c>
      <c r="G79" t="s">
        <v>1811</v>
      </c>
      <c r="H79" t="str" cm="1">
        <f t="array" ref="H79">SLOOKUP(G79,A:A,A:A,0.5)</f>
        <v>Reise ans Ende der Nacht</v>
      </c>
      <c r="I79" t="str" cm="1">
        <f t="array" ref="I79">LLOOKUP(G79,A:A,A:A,0.5)</f>
        <v>Reise ans Ende der Nacht</v>
      </c>
      <c r="J79" t="s">
        <v>536</v>
      </c>
      <c r="K79" t="s">
        <v>536</v>
      </c>
      <c r="L79" t="str" cm="1">
        <f t="array" ref="L79">SLOOKUP(K79,A:A,A:A,0.5)</f>
        <v>Reise ans Ende der Nacht</v>
      </c>
      <c r="M79" t="str" cm="1">
        <f t="array" ref="M79">LLOOKUP(K79,A:A,A:A,0.5)</f>
        <v>Reise ans Ende der Nacht</v>
      </c>
      <c r="Q79" s="10"/>
    </row>
    <row r="80" spans="1:17">
      <c r="A80" s="11" t="s">
        <v>590</v>
      </c>
      <c r="B80" t="s">
        <v>1624</v>
      </c>
      <c r="C80" t="s">
        <v>1625</v>
      </c>
      <c r="D80" t="str" cm="1">
        <f t="array" ref="D80">SLOOKUP(C80,A:A,A:A,0.5)</f>
        <v>Schall und Wahn</v>
      </c>
      <c r="E80" t="str" cm="1">
        <f t="array" ref="E80">LLOOKUP(C80,A:A,A:A,0.5)</f>
        <v>Schall und Wahn</v>
      </c>
      <c r="F80" t="s">
        <v>1812</v>
      </c>
      <c r="G80" t="s">
        <v>1813</v>
      </c>
      <c r="H80" t="str" cm="1">
        <f t="array" ref="H80">SLOOKUP(G80,A:A,A:A,0.5)</f>
        <v>Schall und Wahn</v>
      </c>
      <c r="I80" t="str" cm="1">
        <f t="array" ref="I80">LLOOKUP(G80,A:A,A:A,0.5)</f>
        <v>Schall und Wahn</v>
      </c>
      <c r="J80" t="s">
        <v>590</v>
      </c>
      <c r="K80" t="s">
        <v>590</v>
      </c>
      <c r="L80" t="str" cm="1">
        <f t="array" ref="L80">SLOOKUP(K80,A:A,A:A,0.5)</f>
        <v>Schall und Wahn</v>
      </c>
      <c r="M80" t="str" cm="1">
        <f t="array" ref="M80">LLOOKUP(K80,A:A,A:A,0.5)</f>
        <v>Schall und Wahn</v>
      </c>
      <c r="Q80" s="10"/>
    </row>
    <row r="81" spans="1:17">
      <c r="A81" s="11" t="s">
        <v>566</v>
      </c>
      <c r="B81" t="s">
        <v>1626</v>
      </c>
      <c r="C81" t="s">
        <v>1627</v>
      </c>
      <c r="D81" t="str" cm="1">
        <f t="array" ref="D81">SLOOKUP(C81,A:A,A:A,0.5)</f>
        <v>Schöne neue Welt</v>
      </c>
      <c r="E81" t="str" cm="1">
        <f t="array" ref="E81">LLOOKUP(C81,A:A,A:A,0.5)</f>
        <v>Schöne neue Welt</v>
      </c>
      <c r="F81" t="s">
        <v>1814</v>
      </c>
      <c r="G81" t="s">
        <v>1815</v>
      </c>
      <c r="H81" t="str" cm="1">
        <f t="array" ref="H81">SLOOKUP(G81,A:A,A:A,0.5)</f>
        <v>Schöne neue Welt</v>
      </c>
      <c r="I81" t="str" cm="1">
        <f t="array" ref="I81">LLOOKUP(G81,A:A,A:A,0.5)</f>
        <v>Schöne neue Welt</v>
      </c>
      <c r="J81" t="s">
        <v>566</v>
      </c>
      <c r="K81" t="s">
        <v>566</v>
      </c>
      <c r="L81" t="str" cm="1">
        <f t="array" ref="L81">SLOOKUP(K81,A:A,A:A,0.5)</f>
        <v>Schöne neue Welt</v>
      </c>
      <c r="M81" t="str" cm="1">
        <f t="array" ref="M81">LLOOKUP(K81,A:A,A:A,0.5)</f>
        <v>Schöne neue Welt</v>
      </c>
      <c r="Q81" s="10"/>
    </row>
    <row r="82" spans="1:17">
      <c r="A82" s="11" t="s">
        <v>674</v>
      </c>
      <c r="B82" t="s">
        <v>1628</v>
      </c>
      <c r="C82" t="s">
        <v>1629</v>
      </c>
      <c r="D82" t="str" cm="1">
        <f t="array" ref="D82">SLOOKUP(C82,A:A,A:A,0.5)</f>
        <v>Schriften</v>
      </c>
      <c r="E82" t="str" cm="1">
        <f t="array" ref="E82">LLOOKUP(C82,A:A,A:A,0.5)</f>
        <v>Schriften</v>
      </c>
      <c r="F82" t="s">
        <v>1816</v>
      </c>
      <c r="G82" t="s">
        <v>1817</v>
      </c>
      <c r="H82" t="str" cm="1">
        <f t="array" ref="H82">SLOOKUP(G82,A:A,A:A,0.5)</f>
        <v/>
      </c>
      <c r="I82" t="str" cm="1">
        <f t="array" ref="I82">LLOOKUP(G82,A:A,A:A,0.5)</f>
        <v>Das Ufer der Syrten</v>
      </c>
      <c r="J82" t="s">
        <v>1855</v>
      </c>
      <c r="K82" t="s">
        <v>1855</v>
      </c>
      <c r="L82" t="str" cm="1">
        <f t="array" ref="L82">SLOOKUP(K82,A:A,A:A,0.5)</f>
        <v/>
      </c>
      <c r="M82" t="str" cm="1">
        <f t="array" ref="M82">LLOOKUP(K82,A:A,A:A,0.5)</f>
        <v/>
      </c>
      <c r="Q82" s="10"/>
    </row>
    <row r="83" spans="1:17">
      <c r="A83" s="11" t="s">
        <v>628</v>
      </c>
      <c r="B83" t="s">
        <v>1630</v>
      </c>
      <c r="C83" t="s">
        <v>1631</v>
      </c>
      <c r="D83" t="str" cm="1">
        <f t="array" ref="D83">SLOOKUP(C83,A:A,A:A,0.5)</f>
        <v>Sechs Personen suchen einen Autor</v>
      </c>
      <c r="E83" t="str" cm="1">
        <f t="array" ref="E83">LLOOKUP(C83,A:A,A:A,0.5)</f>
        <v>Sechs Personen suchen einen Autor</v>
      </c>
      <c r="F83" t="s">
        <v>1818</v>
      </c>
      <c r="G83" t="s">
        <v>1819</v>
      </c>
      <c r="H83" t="str" cm="1">
        <f t="array" ref="H83">SLOOKUP(G83,A:A,A:A,0.5)</f>
        <v>Sechs Personen suchen einen Autor</v>
      </c>
      <c r="I83" t="str" cm="1">
        <f t="array" ref="I83">LLOOKUP(G83,A:A,A:A,0.5)</f>
        <v>Sechs Personen suchen einen Autor</v>
      </c>
      <c r="J83" t="s">
        <v>628</v>
      </c>
      <c r="K83" t="s">
        <v>628</v>
      </c>
      <c r="L83" t="str" cm="1">
        <f t="array" ref="L83">SLOOKUP(K83,A:A,A:A,0.5)</f>
        <v>Sechs Personen suchen einen Autor</v>
      </c>
      <c r="M83" t="str" cm="1">
        <f t="array" ref="M83">LLOOKUP(K83,A:A,A:A,0.5)</f>
        <v>Sechs Personen suchen einen Autor</v>
      </c>
      <c r="Q83" s="10"/>
    </row>
    <row r="84" spans="1:17">
      <c r="A84" s="11" t="s">
        <v>715</v>
      </c>
      <c r="B84" t="s">
        <v>1632</v>
      </c>
      <c r="C84" t="s">
        <v>1633</v>
      </c>
      <c r="D84" t="str" cm="1">
        <f t="array" ref="D84">SLOOKUP(C84,A:A,A:A,0.5)</f>
        <v>Seemarken</v>
      </c>
      <c r="E84" t="str" cm="1">
        <f t="array" ref="E84">LLOOKUP(C84,A:A,A:A,0.5)</f>
        <v>Seemarken</v>
      </c>
      <c r="F84" t="s">
        <v>1820</v>
      </c>
      <c r="G84" t="s">
        <v>1821</v>
      </c>
      <c r="H84" t="str" cm="1">
        <f t="array" ref="H84">SLOOKUP(G84,A:A,A:A,0.5)</f>
        <v>Seemarken</v>
      </c>
      <c r="I84" t="str" cm="1">
        <f t="array" ref="I84">LLOOKUP(G84,A:A,A:A,0.5)</f>
        <v>Seemarken</v>
      </c>
      <c r="J84" t="s">
        <v>715</v>
      </c>
      <c r="K84" t="s">
        <v>715</v>
      </c>
      <c r="L84" t="str" cm="1">
        <f t="array" ref="L84">SLOOKUP(K84,A:A,A:A,0.5)</f>
        <v>Seemarken</v>
      </c>
      <c r="M84" t="str" cm="1">
        <f t="array" ref="M84">LLOOKUP(K84,A:A,A:A,0.5)</f>
        <v>Seemarken</v>
      </c>
      <c r="Q84" s="10"/>
    </row>
    <row r="85" spans="1:17">
      <c r="A85" s="11" t="s">
        <v>534</v>
      </c>
      <c r="B85" t="s">
        <v>1634</v>
      </c>
      <c r="C85" t="s">
        <v>1635</v>
      </c>
      <c r="D85" t="str" cm="1">
        <f t="array" ref="D85">SLOOKUP(C85,A:A,A:A,0.5)</f>
        <v>So lebt der Mensch</v>
      </c>
      <c r="E85" t="str" cm="1">
        <f t="array" ref="E85">LLOOKUP(C85,A:A,A:A,0.5)</f>
        <v>So lebt der Mensch</v>
      </c>
      <c r="F85" t="s">
        <v>1822</v>
      </c>
      <c r="G85" t="s">
        <v>1823</v>
      </c>
      <c r="H85" t="str" cm="1">
        <f t="array" ref="H85">SLOOKUP(G85,A:A,A:A,0.5)</f>
        <v>So lebt der Mensch</v>
      </c>
      <c r="I85" t="str" cm="1">
        <f t="array" ref="I85">LLOOKUP(G85,A:A,A:A,0.5)</f>
        <v>So lebt der Mensch</v>
      </c>
      <c r="J85" t="s">
        <v>534</v>
      </c>
      <c r="K85" t="s">
        <v>534</v>
      </c>
      <c r="L85" t="str" cm="1">
        <f t="array" ref="L85">SLOOKUP(K85,A:A,A:A,0.5)</f>
        <v>So lebt der Mensch</v>
      </c>
      <c r="M85" t="str" cm="1">
        <f t="array" ref="M85">LLOOKUP(K85,A:A,A:A,0.5)</f>
        <v>So lebt der Mensch</v>
      </c>
      <c r="Q85" s="10"/>
    </row>
    <row r="86" spans="1:17">
      <c r="A86" s="11" t="s">
        <v>686</v>
      </c>
      <c r="B86" t="s">
        <v>1636</v>
      </c>
      <c r="C86" t="s">
        <v>1637</v>
      </c>
      <c r="D86" t="str" cm="1">
        <f t="array" ref="D86">SLOOKUP(C86,A:A,A:A,0.5)</f>
        <v>Sophies Entscheidung</v>
      </c>
      <c r="E86" t="str" cm="1">
        <f t="array" ref="E86">LLOOKUP(C86,A:A,A:A,0.5)</f>
        <v>Sophies Entscheidung</v>
      </c>
      <c r="F86" t="s">
        <v>1824</v>
      </c>
      <c r="G86" t="s">
        <v>1825</v>
      </c>
      <c r="H86" t="str" cm="1">
        <f t="array" ref="H86">SLOOKUP(G86,A:A,A:A,0.5)</f>
        <v>Sophies Entscheidung</v>
      </c>
      <c r="I86" t="str" cm="1">
        <f t="array" ref="I86">LLOOKUP(G86,A:A,A:A,0.5)</f>
        <v>Sophies Entscheidung</v>
      </c>
      <c r="J86" t="s">
        <v>686</v>
      </c>
      <c r="K86" t="s">
        <v>686</v>
      </c>
      <c r="L86" t="str" cm="1">
        <f t="array" ref="L86">SLOOKUP(K86,A:A,A:A,0.5)</f>
        <v>Sophies Entscheidung</v>
      </c>
      <c r="M86" t="str" cm="1">
        <f t="array" ref="M86">LLOOKUP(K86,A:A,A:A,0.5)</f>
        <v>Sophies Entscheidung</v>
      </c>
      <c r="Q86" s="10"/>
    </row>
    <row r="87" spans="1:17">
      <c r="A87" s="11" t="s">
        <v>646</v>
      </c>
      <c r="B87" t="s">
        <v>1638</v>
      </c>
      <c r="C87" t="s">
        <v>1639</v>
      </c>
      <c r="D87" t="str" cm="1">
        <f t="array" ref="D87">SLOOKUP(C87,A:A,A:A,0.5)</f>
        <v>Südseeballade</v>
      </c>
      <c r="E87" t="str" cm="1">
        <f t="array" ref="E87">LLOOKUP(C87,A:A,A:A,0.5)</f>
        <v>Südseeballade</v>
      </c>
      <c r="F87" t="s">
        <v>1826</v>
      </c>
      <c r="G87" t="s">
        <v>1827</v>
      </c>
      <c r="H87" t="str" cm="1">
        <f t="array" ref="H87">SLOOKUP(G87,A:A,A:A,0.5)</f>
        <v/>
      </c>
      <c r="I87" t="str" cm="1">
        <f t="array" ref="I87">LLOOKUP(G87,A:A,A:A,0.5)</f>
        <v>Südseeballade</v>
      </c>
      <c r="J87" t="s">
        <v>646</v>
      </c>
      <c r="K87" t="s">
        <v>646</v>
      </c>
      <c r="L87" t="str" cm="1">
        <f t="array" ref="L87">SLOOKUP(K87,A:A,A:A,0.5)</f>
        <v>Südseeballade</v>
      </c>
      <c r="M87" t="str" cm="1">
        <f t="array" ref="M87">LLOOKUP(K87,A:A,A:A,0.5)</f>
        <v>Südseeballade</v>
      </c>
      <c r="Q87" s="10"/>
    </row>
    <row r="88" spans="1:17">
      <c r="A88" s="11" t="s">
        <v>562</v>
      </c>
      <c r="B88" t="s">
        <v>1640</v>
      </c>
      <c r="C88" t="s">
        <v>1641</v>
      </c>
      <c r="D88" t="str" cm="1">
        <f t="array" ref="D88">SLOOKUP(C88,A:A,A:A,0.5)</f>
        <v>Tagebuch der Anne Frank</v>
      </c>
      <c r="E88" t="str" cm="1">
        <f t="array" ref="E88">LLOOKUP(C88,A:A,A:A,0.5)</f>
        <v>Tagebuch der Anne Frank</v>
      </c>
      <c r="F88" t="s">
        <v>1828</v>
      </c>
      <c r="G88" t="s">
        <v>1829</v>
      </c>
      <c r="H88" t="str" cm="1">
        <f t="array" ref="H88">SLOOKUP(G88,A:A,A:A,0.5)</f>
        <v>Tagebuch der Anne Frank</v>
      </c>
      <c r="I88" t="str" cm="1">
        <f t="array" ref="I88">LLOOKUP(G88,A:A,A:A,0.5)</f>
        <v>Tagebuch der Anne Frank</v>
      </c>
      <c r="J88" t="s">
        <v>562</v>
      </c>
      <c r="K88" t="s">
        <v>562</v>
      </c>
      <c r="L88" t="str" cm="1">
        <f t="array" ref="L88">SLOOKUP(K88,A:A,A:A,0.5)</f>
        <v>Tagebuch der Anne Frank</v>
      </c>
      <c r="M88" t="str" cm="1">
        <f t="array" ref="M88">LLOOKUP(K88,A:A,A:A,0.5)</f>
        <v>Tagebuch der Anne Frank</v>
      </c>
      <c r="Q88" s="10"/>
    </row>
    <row r="89" spans="1:17">
      <c r="A89" s="11" t="s">
        <v>670</v>
      </c>
      <c r="B89" t="s">
        <v>1642</v>
      </c>
      <c r="C89" t="s">
        <v>1643</v>
      </c>
      <c r="D89" t="str" cm="1">
        <f t="array" ref="D89">SLOOKUP(C89,A:A,A:A,0.5)</f>
        <v>Tagebücher 1887-1910</v>
      </c>
      <c r="E89" t="str" cm="1">
        <f t="array" ref="E89">LLOOKUP(C89,A:A,A:A,0.5)</f>
        <v>Tagebücher 1887-1910</v>
      </c>
      <c r="F89" t="s">
        <v>1830</v>
      </c>
      <c r="G89" t="s">
        <v>1831</v>
      </c>
      <c r="H89" t="str" cm="1">
        <f t="array" ref="H89">SLOOKUP(G89,A:A,A:A,0.5)</f>
        <v>Tagebücher 1887-1910</v>
      </c>
      <c r="I89" t="str" cm="1">
        <f t="array" ref="I89">LLOOKUP(G89,A:A,A:A,0.5)</f>
        <v>Tagebücher 1887-1910</v>
      </c>
      <c r="J89" t="s">
        <v>670</v>
      </c>
      <c r="K89" t="s">
        <v>670</v>
      </c>
      <c r="L89" t="str" cm="1">
        <f t="array" ref="L89">SLOOKUP(K89,A:A,A:A,0.5)</f>
        <v>Tagebücher 1887-1910</v>
      </c>
      <c r="M89" t="str" cm="1">
        <f t="array" ref="M89">LLOOKUP(K89,A:A,A:A,0.5)</f>
        <v>Tagebücher 1887-1910</v>
      </c>
      <c r="Q89" s="10"/>
    </row>
    <row r="90" spans="1:17">
      <c r="A90" s="11" t="s">
        <v>564</v>
      </c>
      <c r="B90" t="s">
        <v>1644</v>
      </c>
      <c r="C90" t="s">
        <v>1645</v>
      </c>
      <c r="D90" t="str" cm="1">
        <f t="array" ref="D90">SLOOKUP(C90,A:A,A:A,0.5)</f>
        <v>Traurige Tropen</v>
      </c>
      <c r="E90" t="str" cm="1">
        <f t="array" ref="E90">LLOOKUP(C90,A:A,A:A,0.5)</f>
        <v>Traurige Tropen</v>
      </c>
      <c r="F90" t="s">
        <v>1832</v>
      </c>
      <c r="G90" t="s">
        <v>1833</v>
      </c>
      <c r="H90" t="str" cm="1">
        <f t="array" ref="H90">SLOOKUP(G90,A:A,A:A,0.5)</f>
        <v>Traurige Tropen</v>
      </c>
      <c r="I90" t="str" cm="1">
        <f t="array" ref="I90">LLOOKUP(G90,A:A,A:A,0.5)</f>
        <v>Traurige Tropen</v>
      </c>
      <c r="J90" t="s">
        <v>564</v>
      </c>
      <c r="K90" t="s">
        <v>564</v>
      </c>
      <c r="L90" t="str" cm="1">
        <f t="array" ref="L90">SLOOKUP(K90,A:A,A:A,0.5)</f>
        <v>Traurige Tropen</v>
      </c>
      <c r="M90" t="str" cm="1">
        <f t="array" ref="M90">LLOOKUP(K90,A:A,A:A,0.5)</f>
        <v>Traurige Tropen</v>
      </c>
      <c r="Q90" s="10"/>
    </row>
    <row r="91" spans="1:17">
      <c r="A91" s="8" t="s">
        <v>828</v>
      </c>
      <c r="B91" t="s">
        <v>1646</v>
      </c>
      <c r="C91" t="s">
        <v>1647</v>
      </c>
      <c r="D91" t="str" cm="1">
        <f t="array" ref="D91">SLOOKUP(C91,A:A,A:A,0.5)</f>
        <v>Trilogie: Sexus, Plexus und Nexus</v>
      </c>
      <c r="E91" t="str" cm="1">
        <f t="array" ref="E91">LLOOKUP(C91,A:A,A:A,0.5)</f>
        <v>Trilogie: Sexus, Plexus und Nexus</v>
      </c>
      <c r="F91" t="s">
        <v>1834</v>
      </c>
      <c r="G91" t="s">
        <v>1835</v>
      </c>
      <c r="H91" t="str" cm="1">
        <f t="array" ref="H91">SLOOKUP(G91,A:A,A:A,0.5)</f>
        <v>Trilogie: Sexus, Plexus und Nexus</v>
      </c>
      <c r="I91" t="str" cm="1">
        <f t="array" ref="I91">LLOOKUP(G91,A:A,A:A,0.5)</f>
        <v>Trilogie: Sexus, Plexus und Nexus</v>
      </c>
      <c r="J91" t="s">
        <v>828</v>
      </c>
      <c r="K91" t="s">
        <v>828</v>
      </c>
      <c r="L91" t="str" cm="1">
        <f t="array" ref="L91">SLOOKUP(K91,A:A,A:A,0.5)</f>
        <v>Trilogie: Sexus, Plexus und Nexus</v>
      </c>
      <c r="M91" t="str" cm="1">
        <f t="array" ref="M91">LLOOKUP(K91,A:A,A:A,0.5)</f>
        <v>Trilogie: Sexus, Plexus und Nexus</v>
      </c>
      <c r="Q91" s="10"/>
    </row>
    <row r="92" spans="1:17">
      <c r="A92" s="11" t="s">
        <v>668</v>
      </c>
      <c r="B92" t="s">
        <v>1648</v>
      </c>
      <c r="C92" t="s">
        <v>1649</v>
      </c>
      <c r="D92" t="str" cm="1">
        <f t="array" ref="D92">SLOOKUP(C92,A:A,A:A,0.5)</f>
        <v>Tropismen</v>
      </c>
      <c r="E92" t="str" cm="1">
        <f t="array" ref="E92">LLOOKUP(C92,A:A,A:A,0.5)</f>
        <v>Tropismen</v>
      </c>
      <c r="F92" t="s">
        <v>1836</v>
      </c>
      <c r="G92" t="s">
        <v>1837</v>
      </c>
      <c r="H92" t="str" cm="1">
        <f t="array" ref="H92">SLOOKUP(G92,A:A,A:A,0.5)</f>
        <v/>
      </c>
      <c r="I92" t="str" cm="1">
        <f t="array" ref="I92">LLOOKUP(G92,A:A,A:A,0.5)</f>
        <v>Die Mars-Chroniken</v>
      </c>
      <c r="J92" t="s">
        <v>688</v>
      </c>
      <c r="K92" t="s">
        <v>688</v>
      </c>
      <c r="L92" t="str" cm="1">
        <f t="array" ref="L92">SLOOKUP(K92,A:A,A:A,0.5)</f>
        <v>Zigeunerromanzen</v>
      </c>
      <c r="M92" t="str" cm="1">
        <f t="array" ref="M92">LLOOKUP(K92,A:A,A:A,0.5)</f>
        <v>Zigeunerromanzen</v>
      </c>
      <c r="Q92" s="10"/>
    </row>
    <row r="93" spans="1:17">
      <c r="A93" s="11" t="s">
        <v>578</v>
      </c>
      <c r="B93" t="s">
        <v>1650</v>
      </c>
      <c r="C93" t="s">
        <v>1650</v>
      </c>
      <c r="D93" t="str" cm="1">
        <f t="array" ref="D93">SLOOKUP(C93,A:A,A:A,0.5)</f>
        <v>Ulysses</v>
      </c>
      <c r="E93" t="str" cm="1">
        <f t="array" ref="E93">LLOOKUP(C93,A:A,A:A,0.5)</f>
        <v>Ulysses</v>
      </c>
      <c r="F93" t="s">
        <v>854</v>
      </c>
      <c r="G93" t="s">
        <v>854</v>
      </c>
      <c r="H93" t="str" cm="1">
        <f t="array" ref="H93">SLOOKUP(G93,A:A,A:A,0.5)</f>
        <v>Ulysses</v>
      </c>
      <c r="I93" t="str" cm="1">
        <f t="array" ref="I93">LLOOKUP(G93,A:A,A:A,0.5)</f>
        <v>Ulysses</v>
      </c>
      <c r="J93" t="s">
        <v>578</v>
      </c>
      <c r="K93" t="s">
        <v>578</v>
      </c>
      <c r="L93" t="str" cm="1">
        <f t="array" ref="L93">SLOOKUP(K93,A:A,A:A,0.5)</f>
        <v>Ulysses</v>
      </c>
      <c r="M93" t="str" cm="1">
        <f t="array" ref="M93">LLOOKUP(K93,A:A,A:A,0.5)</f>
        <v>Ulysses</v>
      </c>
      <c r="Q93" s="10"/>
    </row>
    <row r="94" spans="1:17">
      <c r="A94" s="11" t="s">
        <v>719</v>
      </c>
      <c r="B94" t="s">
        <v>1651</v>
      </c>
      <c r="C94" t="s">
        <v>1652</v>
      </c>
      <c r="D94" t="str" cm="1">
        <f t="array" ref="D94">SLOOKUP(C94,A:A,A:A,0.5)</f>
        <v>Unter dem Vulkan</v>
      </c>
      <c r="E94" t="str" cm="1">
        <f t="array" ref="E94">LLOOKUP(C94,A:A,A:A,0.5)</f>
        <v>Unter dem Vulkan</v>
      </c>
      <c r="F94" t="s">
        <v>1838</v>
      </c>
      <c r="G94" t="s">
        <v>1839</v>
      </c>
      <c r="H94" t="str" cm="1">
        <f t="array" ref="H94">SLOOKUP(G94,A:A,A:A,0.5)</f>
        <v>Unter dem Vulkan</v>
      </c>
      <c r="I94" t="str" cm="1">
        <f t="array" ref="I94">LLOOKUP(G94,A:A,A:A,0.5)</f>
        <v>Unter dem Vulkan</v>
      </c>
      <c r="J94" t="s">
        <v>719</v>
      </c>
      <c r="K94" t="s">
        <v>719</v>
      </c>
      <c r="L94" t="str" cm="1">
        <f t="array" ref="L94">SLOOKUP(K94,A:A,A:A,0.5)</f>
        <v>Unter dem Vulkan</v>
      </c>
      <c r="M94" t="str" cm="1">
        <f t="array" ref="M94">LLOOKUP(K94,A:A,A:A,0.5)</f>
        <v>Unter dem Vulkan</v>
      </c>
      <c r="Q94" s="10"/>
    </row>
    <row r="95" spans="1:17">
      <c r="A95" s="11" t="s">
        <v>656</v>
      </c>
      <c r="B95" t="s">
        <v>1653</v>
      </c>
      <c r="C95" t="s">
        <v>1654</v>
      </c>
      <c r="D95" t="str" cm="1">
        <f t="array" ref="D95">SLOOKUP(C95,A:A,A:A,0.5)</f>
        <v>Unterwegs</v>
      </c>
      <c r="E95" t="str" cm="1">
        <f t="array" ref="E95">LLOOKUP(C95,A:A,A:A,0.5)</f>
        <v>Unterwegs</v>
      </c>
      <c r="F95" t="s">
        <v>1654</v>
      </c>
      <c r="G95" t="s">
        <v>1840</v>
      </c>
      <c r="H95" t="str" cm="1">
        <f t="array" ref="H95">SLOOKUP(G95,A:A,A:A,0.5)</f>
        <v>Verwirrung der Gefühle</v>
      </c>
      <c r="I95" t="str" cm="1">
        <f t="array" ref="I95">LLOOKUP(G95,A:A,A:A,0.5)</f>
        <v>Unterwegs</v>
      </c>
      <c r="J95" t="s">
        <v>656</v>
      </c>
      <c r="K95" t="s">
        <v>656</v>
      </c>
      <c r="L95" t="str" cm="1">
        <f t="array" ref="L95">SLOOKUP(K95,A:A,A:A,0.5)</f>
        <v>Unterwegs</v>
      </c>
      <c r="M95" t="str" cm="1">
        <f t="array" ref="M95">LLOOKUP(K95,A:A,A:A,0.5)</f>
        <v>Unterwegs</v>
      </c>
      <c r="Q95" s="10"/>
    </row>
    <row r="96" spans="1:17">
      <c r="A96" s="11" t="s">
        <v>596</v>
      </c>
      <c r="B96" t="s">
        <v>1655</v>
      </c>
      <c r="C96" t="s">
        <v>1656</v>
      </c>
      <c r="D96" t="str" cm="1">
        <f t="array" ref="D96">SLOOKUP(C96,A:A,A:A,0.5)</f>
        <v>Verwirrung der Gefühle</v>
      </c>
      <c r="E96" t="str" cm="1">
        <f t="array" ref="E96">LLOOKUP(C96,A:A,A:A,0.5)</f>
        <v>Verwirrung der Gefühle</v>
      </c>
      <c r="F96" t="s">
        <v>1841</v>
      </c>
      <c r="G96" t="s">
        <v>1842</v>
      </c>
      <c r="H96" t="str" cm="1">
        <f t="array" ref="H96">SLOOKUP(G96,A:A,A:A,0.5)</f>
        <v>Verwirrung der Gefühle</v>
      </c>
      <c r="I96" t="str" cm="1">
        <f t="array" ref="I96">LLOOKUP(G96,A:A,A:A,0.5)</f>
        <v>Verwirrung der Gefühle</v>
      </c>
      <c r="J96" t="s">
        <v>596</v>
      </c>
      <c r="K96" t="s">
        <v>596</v>
      </c>
      <c r="L96" t="str" cm="1">
        <f t="array" ref="L96">SLOOKUP(K96,A:A,A:A,0.5)</f>
        <v>Verwirrung der Gefühle</v>
      </c>
      <c r="M96" t="str" cm="1">
        <f t="array" ref="M96">LLOOKUP(K96,A:A,A:A,0.5)</f>
        <v>Verwirrung der Gefühle</v>
      </c>
      <c r="Q96" s="10"/>
    </row>
    <row r="97" spans="1:17">
      <c r="A97" s="11" t="s">
        <v>598</v>
      </c>
      <c r="B97" t="s">
        <v>1657</v>
      </c>
      <c r="C97" t="s">
        <v>1658</v>
      </c>
      <c r="D97" t="str" cm="1">
        <f t="array" ref="D97">SLOOKUP(C97,A:A,A:A,0.5)</f>
        <v>Vom Winde verweht</v>
      </c>
      <c r="E97" t="str" cm="1">
        <f t="array" ref="E97">LLOOKUP(C97,A:A,A:A,0.5)</f>
        <v>Vom Winde verweht</v>
      </c>
      <c r="F97" t="s">
        <v>1843</v>
      </c>
      <c r="G97" t="s">
        <v>1844</v>
      </c>
      <c r="H97" t="str" cm="1">
        <f t="array" ref="H97">SLOOKUP(G97,A:A,A:A,0.5)</f>
        <v>Vom Winde verweht</v>
      </c>
      <c r="I97" t="str" cm="1">
        <f t="array" ref="I97">LLOOKUP(G97,A:A,A:A,0.5)</f>
        <v>Vom Winde verweht</v>
      </c>
      <c r="J97" t="s">
        <v>598</v>
      </c>
      <c r="K97" t="s">
        <v>598</v>
      </c>
      <c r="L97" t="str" cm="1">
        <f t="array" ref="L97">SLOOKUP(K97,A:A,A:A,0.5)</f>
        <v>Vom Winde verweht</v>
      </c>
      <c r="M97" t="str" cm="1">
        <f t="array" ref="M97">LLOOKUP(K97,A:A,A:A,0.5)</f>
        <v>Vom Winde verweht</v>
      </c>
      <c r="Q97" s="10"/>
    </row>
    <row r="98" spans="1:17">
      <c r="A98" s="11" t="s">
        <v>548</v>
      </c>
      <c r="B98" t="s">
        <v>1659</v>
      </c>
      <c r="C98" t="s">
        <v>1660</v>
      </c>
      <c r="D98" t="str" cm="1">
        <f t="array" ref="D98">SLOOKUP(C98,A:A,A:A,0.5)</f>
        <v>Warten auf Godot</v>
      </c>
      <c r="E98" t="str" cm="1">
        <f t="array" ref="E98">LLOOKUP(C98,A:A,A:A,0.5)</f>
        <v>Warten auf Godot</v>
      </c>
      <c r="F98" t="s">
        <v>1845</v>
      </c>
      <c r="G98" t="s">
        <v>1845</v>
      </c>
      <c r="H98" t="str" cm="1">
        <f t="array" ref="H98">SLOOKUP(G98,A:A,A:A,0.5)</f>
        <v>Warten auf Godot</v>
      </c>
      <c r="I98" t="str" cm="1">
        <f t="array" ref="I98">LLOOKUP(G98,A:A,A:A,0.5)</f>
        <v>Warten auf Godot</v>
      </c>
      <c r="J98" t="s">
        <v>548</v>
      </c>
      <c r="K98" t="s">
        <v>548</v>
      </c>
      <c r="L98" t="str" cm="1">
        <f t="array" ref="L98">SLOOKUP(K98,A:A,A:A,0.5)</f>
        <v>Warten auf Godot</v>
      </c>
      <c r="M98" t="str" cm="1">
        <f t="array" ref="M98">LLOOKUP(K98,A:A,A:A,0.5)</f>
        <v>Warten auf Godot</v>
      </c>
      <c r="Q98" s="10"/>
    </row>
    <row r="99" spans="1:17">
      <c r="A99" s="11" t="s">
        <v>540</v>
      </c>
      <c r="B99" t="s">
        <v>540</v>
      </c>
      <c r="C99" t="s">
        <v>1661</v>
      </c>
      <c r="D99" t="str" cm="1">
        <f t="array" ref="D99">SLOOKUP(C99,A:A,A:A,0.5)</f>
        <v>Wem die Stunde schlägt</v>
      </c>
      <c r="E99" t="str" cm="1">
        <f t="array" ref="E99">LLOOKUP(C99,A:A,A:A,0.5)</f>
        <v>Wem die Stunde schlägt</v>
      </c>
      <c r="F99" t="s">
        <v>1846</v>
      </c>
      <c r="G99" t="s">
        <v>1847</v>
      </c>
      <c r="H99" t="str" cm="1">
        <f t="array" ref="H99">SLOOKUP(G99,A:A,A:A,0.5)</f>
        <v>Wem die Stunde schlägt</v>
      </c>
      <c r="I99" t="str" cm="1">
        <f t="array" ref="I99">LLOOKUP(G99,A:A,A:A,0.5)</f>
        <v>Wem die Stunde schlägt</v>
      </c>
      <c r="J99" t="s">
        <v>540</v>
      </c>
      <c r="K99" t="s">
        <v>540</v>
      </c>
      <c r="L99" t="str" cm="1">
        <f t="array" ref="L99">SLOOKUP(K99,A:A,A:A,0.5)</f>
        <v>Wem die Stunde schlägt</v>
      </c>
      <c r="M99" t="str" cm="1">
        <f t="array" ref="M99">LLOOKUP(K99,A:A,A:A,0.5)</f>
        <v>Wem die Stunde schlägt</v>
      </c>
      <c r="Q99" s="10"/>
    </row>
    <row r="100" spans="1:17">
      <c r="A100" s="11" t="s">
        <v>594</v>
      </c>
      <c r="B100" t="s">
        <v>1662</v>
      </c>
      <c r="C100" t="s">
        <v>1663</v>
      </c>
      <c r="D100" t="str" cm="1">
        <f t="array" ref="D100">SLOOKUP(C100,A:A,A:A,0.5)</f>
        <v>Zazie in der Metro</v>
      </c>
      <c r="E100" t="str" cm="1">
        <f t="array" ref="E100">LLOOKUP(C100,A:A,A:A,0.5)</f>
        <v>Zazie in der Metro</v>
      </c>
      <c r="F100" t="s">
        <v>1848</v>
      </c>
      <c r="G100" t="s">
        <v>1849</v>
      </c>
      <c r="H100" t="str" cm="1">
        <f t="array" ref="H100">SLOOKUP(G100,A:A,A:A,0.5)</f>
        <v>Zazie in der Metro</v>
      </c>
      <c r="I100" t="str" cm="1">
        <f t="array" ref="I100">LLOOKUP(G100,A:A,A:A,0.5)</f>
        <v>Zazie in der Metro</v>
      </c>
      <c r="J100" t="s">
        <v>594</v>
      </c>
      <c r="K100" t="s">
        <v>594</v>
      </c>
      <c r="L100" t="str" cm="1">
        <f t="array" ref="L100">SLOOKUP(K100,A:A,A:A,0.5)</f>
        <v>Zazie in der Metro</v>
      </c>
      <c r="M100" t="str" cm="1">
        <f t="array" ref="M100">LLOOKUP(K100,A:A,A:A,0.5)</f>
        <v>Zazie in der Metro</v>
      </c>
      <c r="Q100" s="10"/>
    </row>
    <row r="101" spans="1:17">
      <c r="A101" s="11" t="s">
        <v>688</v>
      </c>
      <c r="B101" t="s">
        <v>1664</v>
      </c>
      <c r="C101" t="s">
        <v>1665</v>
      </c>
      <c r="D101" t="str" cm="1">
        <f t="array" ref="D101">SLOOKUP(C101,A:A,A:A,0.5)</f>
        <v>Zigeunerromanzen</v>
      </c>
      <c r="E101" t="str" cm="1">
        <f t="array" ref="E101">LLOOKUP(C101,A:A,A:A,0.5)</f>
        <v>Zigeunerromanzen</v>
      </c>
      <c r="F101" t="s">
        <v>1850</v>
      </c>
      <c r="G101" t="s">
        <v>1851</v>
      </c>
      <c r="H101" t="str" cm="1">
        <f t="array" ref="H101">SLOOKUP(G101,A:A,A:A,0.5)</f>
        <v>Zigeunerromanzen</v>
      </c>
      <c r="I101" t="str" cm="1">
        <f t="array" ref="I101">LLOOKUP(G101,A:A,A:A,0.5)</f>
        <v>Zigeunerromanzen</v>
      </c>
      <c r="J101" t="s">
        <v>688</v>
      </c>
      <c r="K101" t="s">
        <v>688</v>
      </c>
      <c r="L101" t="str" cm="1">
        <f t="array" ref="L101">SLOOKUP(K101,A:A,A:A,0.5)</f>
        <v>Zigeunerromanzen</v>
      </c>
      <c r="M101" t="str" cm="1">
        <f t="array" ref="M101">LLOOKUP(K101,A:A,A:A,0.5)</f>
        <v>Zigeunerromanzen</v>
      </c>
      <c r="Q10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79B2B-1436-5340-9437-388A98EE5823}">
  <sheetPr codeName="Sheet5"/>
  <dimension ref="A1:E17"/>
  <sheetViews>
    <sheetView zoomScaleNormal="100" workbookViewId="0">
      <selection activeCell="A21" sqref="A21"/>
    </sheetView>
  </sheetViews>
  <sheetFormatPr baseColWidth="10" defaultRowHeight="14"/>
  <cols>
    <col min="1" max="3" width="21.1640625" customWidth="1"/>
    <col min="4" max="4" width="3" customWidth="1"/>
    <col min="5" max="5" width="21.1640625" customWidth="1"/>
  </cols>
  <sheetData>
    <row r="1" spans="1:5">
      <c r="A1" s="13" t="s">
        <v>861</v>
      </c>
      <c r="B1" s="13" t="s">
        <v>862</v>
      </c>
      <c r="C1" s="13" t="s">
        <v>863</v>
      </c>
      <c r="D1" s="13"/>
      <c r="E1" s="13" t="s">
        <v>864</v>
      </c>
    </row>
    <row r="2" spans="1:5">
      <c r="A2" s="12" t="s">
        <v>876</v>
      </c>
      <c r="B2" s="12" t="str" cm="1">
        <f t="array" ref="B2">SLOOKUP(A2,E$2:E$17,E$2:E$17,0.35)</f>
        <v>#Female Pleasure</v>
      </c>
      <c r="C2" s="12" t="str" cm="1">
        <f t="array" ref="C2">LLOOKUP(A2,E$2:E$17,E$2:E$17,0.55)</f>
        <v>#Female Pleasure</v>
      </c>
      <c r="D2" s="12"/>
      <c r="E2" s="12" t="s">
        <v>881</v>
      </c>
    </row>
    <row r="3" spans="1:5">
      <c r="A3" s="12" t="s">
        <v>878</v>
      </c>
      <c r="B3" s="12" t="str" cm="1">
        <f t="array" ref="B3">SLOOKUP(A3,E$2:E$17,E$2:E$17,0.35)</f>
        <v>Alpzyt</v>
      </c>
      <c r="C3" s="12" t="str" cm="1">
        <f t="array" ref="C3">LLOOKUP(A3,E$2:E$17,E$2:E$17,0.55)</f>
        <v>Alpzyt</v>
      </c>
      <c r="D3" s="12"/>
      <c r="E3" s="12" t="s">
        <v>882</v>
      </c>
    </row>
    <row r="4" spans="1:5">
      <c r="A4" s="12" t="s">
        <v>869</v>
      </c>
      <c r="B4" s="12" t="str" cm="1">
        <f t="array" ref="B4">SLOOKUP(A4,E$2:E$17,E$2:E$17,0.35)</f>
        <v>Bruno Manser</v>
      </c>
      <c r="C4" s="12" t="str" cm="1">
        <f t="array" ref="C4">LLOOKUP(A4,E$2:E$17,E$2:E$17,0.55)</f>
        <v/>
      </c>
      <c r="D4" s="12"/>
      <c r="E4" s="12" t="s">
        <v>883</v>
      </c>
    </row>
    <row r="5" spans="1:5">
      <c r="A5" s="12" t="s">
        <v>872</v>
      </c>
      <c r="B5" s="12" t="str" cm="1">
        <f t="array" ref="B5">SLOOKUP(A5,E$2:E$17,E$2:E$17,0.35)</f>
        <v>Die göttliche Ordnung</v>
      </c>
      <c r="C5" s="12" t="str" cm="1">
        <f t="array" ref="C5">LLOOKUP(A5,E$2:E$17,E$2:E$17,0.55)</f>
        <v/>
      </c>
      <c r="D5" s="12"/>
      <c r="E5" s="12" t="s">
        <v>868</v>
      </c>
    </row>
    <row r="6" spans="1:5">
      <c r="A6" s="12" t="s">
        <v>880</v>
      </c>
      <c r="B6" s="12" t="str" cm="1">
        <f t="array" ref="B6">SLOOKUP(A6,E$2:E$17,E$2:E$17,0.35)</f>
        <v>Les dames</v>
      </c>
      <c r="C6" s="12" t="str" cm="1">
        <f t="array" ref="C6">LLOOKUP(A6,E$2:E$17,E$2:E$17,0.55)</f>
        <v/>
      </c>
      <c r="D6" s="12"/>
      <c r="E6" s="12" t="s">
        <v>884</v>
      </c>
    </row>
    <row r="7" spans="1:5">
      <c r="A7" s="12" t="s">
        <v>877</v>
      </c>
      <c r="B7" s="12" t="str" cm="1">
        <f t="array" ref="B7">SLOOKUP(A7,E$2:E$17,E$2:E$17,0.35)</f>
        <v>Flitzer</v>
      </c>
      <c r="C7" s="12" t="str" cm="1">
        <f t="array" ref="C7">LLOOKUP(A7,E$2:E$17,E$2:E$17,0.55)</f>
        <v>Flitzer</v>
      </c>
      <c r="D7" s="12"/>
      <c r="E7" s="12" t="s">
        <v>885</v>
      </c>
    </row>
    <row r="8" spans="1:5">
      <c r="A8" s="12" t="s">
        <v>875</v>
      </c>
      <c r="B8" s="12" t="str" cm="1">
        <f t="array" ref="B8">SLOOKUP(A8,E$2:E$17,E$2:E$17,0.35)</f>
        <v>Giovanni Segantini</v>
      </c>
      <c r="C8" s="12" t="str" cm="1">
        <f t="array" ref="C8">LLOOKUP(A8,E$2:E$17,E$2:E$17,0.55)</f>
        <v/>
      </c>
      <c r="D8" s="12"/>
      <c r="E8" s="12" t="s">
        <v>886</v>
      </c>
    </row>
    <row r="9" spans="1:5">
      <c r="A9" s="12" t="s">
        <v>866</v>
      </c>
      <c r="B9" s="12" t="str" cm="1">
        <f t="array" ref="B9">SLOOKUP(A9,E$2:E$17,E$2:E$17,0.35)</f>
        <v>Die göttliche Ordnung</v>
      </c>
      <c r="C9" s="12" t="str" cm="1">
        <f t="array" ref="C9">LLOOKUP(A9,E$2:E$17,E$2:E$17,0.55)</f>
        <v>Die göttliche Ordnung</v>
      </c>
      <c r="D9" s="12"/>
      <c r="E9" s="12" t="s">
        <v>887</v>
      </c>
    </row>
    <row r="10" spans="1:5">
      <c r="A10" s="12" t="s">
        <v>874</v>
      </c>
      <c r="B10" s="12" t="str" cm="1">
        <f t="array" ref="B10">SLOOKUP(A10,E$2:E$17,E$2:E$17,0.35)</f>
        <v>Der grosse Sommer</v>
      </c>
      <c r="C10" s="12" t="str" cm="1">
        <f t="array" ref="C10">LLOOKUP(A10,E$2:E$17,E$2:E$17,0.55)</f>
        <v>Der grosse Sommer</v>
      </c>
      <c r="D10" s="12"/>
      <c r="E10" s="12" t="s">
        <v>888</v>
      </c>
    </row>
    <row r="11" spans="1:5">
      <c r="A11" s="12" t="s">
        <v>865</v>
      </c>
      <c r="B11" s="12" t="str" cm="1">
        <f t="array" ref="B11">SLOOKUP(A11,E$2:E$17,E$2:E$17,0.35)</f>
        <v>Heidi</v>
      </c>
      <c r="C11" s="12" t="str" cm="1">
        <f t="array" ref="C11">LLOOKUP(A11,E$2:E$17,E$2:E$17,0.55)</f>
        <v>Heidi</v>
      </c>
      <c r="D11" s="12"/>
      <c r="E11" s="12" t="s">
        <v>889</v>
      </c>
    </row>
    <row r="12" spans="1:5">
      <c r="A12" s="12" t="s">
        <v>873</v>
      </c>
      <c r="B12" s="12" t="str" cm="1">
        <f t="array" ref="B12">SLOOKUP(A12,E$2:E$17,E$2:E$17,0.35)</f>
        <v>Die letzte Pointe</v>
      </c>
      <c r="C12" s="12" t="str" cm="1">
        <f t="array" ref="C12">LLOOKUP(A12,E$2:E$17,E$2:E$17,0.55)</f>
        <v>Die letzte Pointe</v>
      </c>
      <c r="D12" s="12"/>
      <c r="E12" s="12" t="s">
        <v>890</v>
      </c>
    </row>
    <row r="13" spans="1:5">
      <c r="A13" s="12" t="s">
        <v>879</v>
      </c>
      <c r="B13" s="12" t="str" cm="1">
        <f t="array" ref="B13">SLOOKUP(A13,E$2:E$17,E$2:E$17,0.35)</f>
        <v>Loving Vincent</v>
      </c>
      <c r="C13" s="12" t="str" cm="1">
        <f t="array" ref="C13">LLOOKUP(A13,E$2:E$17,E$2:E$17,0.55)</f>
        <v>Loving Vincent</v>
      </c>
      <c r="D13" s="12"/>
      <c r="E13" s="12" t="s">
        <v>891</v>
      </c>
    </row>
    <row r="14" spans="1:5">
      <c r="A14" s="12" t="s">
        <v>870</v>
      </c>
      <c r="B14" s="12" t="str" cm="1">
        <f t="array" ref="B14">SLOOKUP(A14,E$2:E$17,E$2:E$17,0.35)</f>
        <v>Ma vie de Courgette</v>
      </c>
      <c r="C14" s="12" t="str" cm="1">
        <f t="array" ref="C14">LLOOKUP(A14,E$2:E$17,E$2:E$17,0.55)</f>
        <v>Ma vie de Courgette</v>
      </c>
      <c r="D14" s="12"/>
      <c r="E14" s="12" t="s">
        <v>892</v>
      </c>
    </row>
    <row r="15" spans="1:5">
      <c r="A15" s="12" t="s">
        <v>871</v>
      </c>
      <c r="B15" s="12" t="str" cm="1">
        <f t="array" ref="B15">SLOOKUP(A15,E$2:E$17,E$2:E$17,0.35)</f>
        <v>Papa Moll</v>
      </c>
      <c r="C15" s="12" t="str" cm="1">
        <f t="array" ref="C15">LLOOKUP(A15,E$2:E$17,E$2:E$17,0.55)</f>
        <v>Papa Moll</v>
      </c>
      <c r="D15" s="12"/>
      <c r="E15" s="12" t="s">
        <v>893</v>
      </c>
    </row>
    <row r="16" spans="1:5">
      <c r="A16" s="12" t="s">
        <v>867</v>
      </c>
      <c r="B16" s="12" t="str" cm="1">
        <f t="array" ref="B16">SLOOKUP(A16,E$2:E$17,E$2:E$17,0.35)</f>
        <v/>
      </c>
      <c r="C16" s="12" t="str" cm="1">
        <f t="array" ref="C16">LLOOKUP(A16,E$2:E$17,E$2:E$17,0.55)</f>
        <v/>
      </c>
      <c r="D16" s="12"/>
      <c r="E16" s="12" t="s">
        <v>894</v>
      </c>
    </row>
    <row r="17" spans="1:5">
      <c r="A17" s="12" t="s">
        <v>868</v>
      </c>
      <c r="B17" s="12" t="str" cm="1">
        <f t="array" ref="B17">SLOOKUP(A17,E$2:E$17,E$2:E$17,0.35)</f>
        <v>Zwingli</v>
      </c>
      <c r="C17" s="12" t="str" cm="1">
        <f t="array" ref="C17">LLOOKUP(A17,E$2:E$17,E$2:E$17,0.55)</f>
        <v>Zwingli</v>
      </c>
      <c r="D17" s="12"/>
      <c r="E17" s="12" t="s">
        <v>895</v>
      </c>
    </row>
  </sheetData>
  <sortState xmlns:xlrd2="http://schemas.microsoft.com/office/spreadsheetml/2017/richdata2" ref="A2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Readme</vt:lpstr>
      <vt:lpstr>Example1</vt:lpstr>
      <vt:lpstr>Example2</vt:lpstr>
      <vt:lpstr>Example3</vt:lpstr>
      <vt:lpstr>Example4</vt:lpstr>
      <vt:lpstr>Example5</vt:lpstr>
      <vt:lpstr>Screenshot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Bürcher Matthias Felix BAK</dc:creator>
  <cp:lastModifiedBy>Matthias Bürcher</cp:lastModifiedBy>
  <cp:lastPrinted>2018-03-15T13:53:42Z</cp:lastPrinted>
  <dcterms:created xsi:type="dcterms:W3CDTF">2017-10-01T02:54:24Z</dcterms:created>
  <dcterms:modified xsi:type="dcterms:W3CDTF">2025-02-14T17:10:38Z</dcterms:modified>
</cp:coreProperties>
</file>